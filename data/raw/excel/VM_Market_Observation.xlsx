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https://d.docs.live.net/c55ba288b6d60b4a/gvs-kyiv/data/raw/excel/"/>
    </mc:Choice>
  </mc:AlternateContent>
  <xr:revisionPtr revIDLastSave="7" documentId="8_{92D722E8-8CF9-4759-98B9-0EB7FAA92B3F}" xr6:coauthVersionLast="47" xr6:coauthVersionMax="47" xr10:uidLastSave="{3CAAA984-6D57-4FD1-932A-61D9EB8A0E91}"/>
  <bookViews>
    <workbookView xWindow="20350" yWindow="2850" windowWidth="18130" windowHeight="15370" xr2:uid="{4C2A3869-FCB5-4F9A-9132-EAD8F94A81E8}"/>
  </bookViews>
  <sheets>
    <sheet name="VM_Market_Observation" sheetId="1" r:id="rId1"/>
  </sheets>
  <externalReferences>
    <externalReference r:id="rId2"/>
  </externalReferences>
  <definedNames>
    <definedName name="_xlnm._FilterDatabase" localSheetId="0" hidden="1">VM_Market_Observation!$A$1:$R$155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68" i="1" l="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R1" i="1"/>
  <c r="Q1" i="1"/>
  <c r="P1" i="1"/>
  <c r="O1" i="1"/>
  <c r="N1" i="1"/>
  <c r="M1" i="1"/>
  <c r="L1" i="1"/>
  <c r="K1" i="1"/>
  <c r="J1" i="1"/>
  <c r="I1" i="1"/>
  <c r="H1" i="1"/>
  <c r="G1" i="1"/>
  <c r="F1" i="1"/>
  <c r="E1" i="1"/>
  <c r="D1" i="1"/>
  <c r="C1" i="1"/>
  <c r="B1" i="1"/>
</calcChain>
</file>

<file path=xl/sharedStrings.xml><?xml version="1.0" encoding="utf-8"?>
<sst xmlns="http://schemas.openxmlformats.org/spreadsheetml/2006/main" count="1233" uniqueCount="466">
  <si>
    <t>№</t>
  </si>
  <si>
    <t>2512182013265391</t>
  </si>
  <si>
    <t>OLX</t>
  </si>
  <si>
    <t>https://www.olx.ua/d/uk/obyavlenie/naydeshevsha-fasadna-dlyanka-6-sot-vul-tsentralna-osokorki-metro-4-km-IDS519r.html</t>
  </si>
  <si>
    <t>active</t>
  </si>
  <si>
    <t>Cost of offer</t>
  </si>
  <si>
    <t>USD</t>
  </si>
  <si>
    <t>Найдешевша Фасадна ділянка на Осокорках по вулиці Центральна (Східна), метро Славутич, Осокорки 4 км. Ділянка приватизована площею 6 соток, по фасаду 18,5 метрів, хотя по факту більше 7 соток. Заведено електроенергію, проблем з збільшенням кВт немає, сверловина, інтернет. На ділянці знаходиться два цегляні будиночка і насаджені фруктові дерева. Ділянка приватизована, всі документи готові для оформлення в нотаріуса. Ідеальний варіант для будь якої комерційної діяльності або будинка для постійного проживання. Великий трафік транспорту, поруч зупинка громадського транспорту, метро 5-10 хв машиною..</t>
  </si>
  <si>
    <t>ok</t>
  </si>
  <si>
    <t>2512182013261895</t>
  </si>
  <si>
    <t>https://www.olx.ua/d/uk/obyavlenie/srochno-prodazha-uchastok-5sotok-rusanovskie-sady-sadovaya-19-dneprovskiy-IDe7EL6.html</t>
  </si>
  <si>
    <t>Самый недорогой участок в городской черте Киева.
Отличная альтернатива городской квартире. Срочно продам участок на Русановских садах по улице Садовая 19 в Днепровском районе г Киева. 3 км до метро "Левобережная ". Асфальтированный подъезд. Возможность строительства жилого дома с последующей регистрацией по данному адресу в городе Киеве. 150 м до платформы городской электрички станции "Воскресенка". Быстрый выезд на новый Подольско-Воскресенский мостовой переход через реку Днепр.
Возле озера Радужное. Участок фасадный ровный, угловой ,треугольной формы под садоводство. Прекрасные соседи Документы готовы.</t>
  </si>
  <si>
    <t>2512182013268657</t>
  </si>
  <si>
    <t>https://www.olx.ua/d/uk/obyavlenie/dlyanka-10-sotok-pd-zabudovu-kiv-vul-m-chalogo-m-zhitomirska-4-hv-IDVOWi3.html</t>
  </si>
  <si>
    <t>Продам земельну ділянку під забудову в Києві.
Адреса: м. Київ, Святошинський р-н, вул. Михайла Чалого, 25
Кадастровий номер: 8000000000:75:168:0020 Цільове призначення: для будівництва та обслуговування житлового будинку, господарських будівель і споруд (присадибна ділянка) Площа: 10 соток, правильної прямокутної форми, розмір 25м (фасад) * 40м Комунікації: вздовж фасаду ділянки централізовані (міські) холодна вода, каналізація, ГАЗ, електроенергія. Ділянка має правильну прямокутну форму, розташована в одному рівні, в оточенні лісу. Розпланована, великих дерев на ділянці немає. Сусіди постійно живуть, поряд збудовані сучасні будинки та будуються нові.</t>
  </si>
  <si>
    <t>2512182013267952</t>
  </si>
  <si>
    <t>https://www.olx.ua/d/uk/obyavlenie/prodam-zmelnu-dlyanku-na-chorny-gor-pecherskiy-rayon-IDYLFan.html</t>
  </si>
  <si>
    <t>Пропонується у продаж ділянка 10 соток (під будівництво будинку) на вулиці Товарна, 10 хв від М Дружби народів. На ділянці є невеликий будинок зруйнований 70м2.</t>
  </si>
  <si>
    <t>2512182013265009</t>
  </si>
  <si>
    <t>https://www.olx.ua/d/uk/obyavlenie/dlyanka-kiv-desnyanskiy-miloslavska-troschina-8-3-sot-IDYJquw.html</t>
  </si>
  <si>
    <t>Продам землю під забудову, Київ, Деснянський район, вул.Радосинська переходить в Погребський шлях, поряд зупинки Милославська та Лисківська, ділянка 8,3 сотки друга лінія через дорогу від опікового центру, заїзд за Генстаром, Комунікації у безпосередній близькості. Без дерев та чагарників. Сусіди побудовані, Ділянка підсипана до рівня дороги, не затоплюється, Цільове призначення: Для індивідуального житлового, гаражного та дачного будівництва, експлуатації та обслуговування житлового будинку, господарських будівель та споруд. Можливе використання під комерцію типу СТО, малярка, мийка, склад, логістика і так далі. Вся ділянка 8,3 соток, розмір десь 18,5м фасад на 45м глибина плюс-мінус, обведена померанчевим кольором на 2 му і 3 му фото. Документи на ділянку у повному порядку. Актам на право власності понад три роки. Продається без комісії та переплати для покупця. Власник, хозяїн. Ціна вказана за одну сотку. Кадастровий номер: 8000000000:62:146:0091</t>
  </si>
  <si>
    <t>2512182013260879</t>
  </si>
  <si>
    <t>https://www.olx.ua/d/uk/obyavlenie/uchastok-na-troeschine-IDUKd4J.html</t>
  </si>
  <si>
    <t>Киев, Деснянский р.н. Троещина., ул. Радосинская. Участок под застройку 20-соток правильной формы, можно по-10с. Коммуникации все рядом. Возможно расширение. 9300$ за-сотку.</t>
  </si>
  <si>
    <t>2512182013260569</t>
  </si>
  <si>
    <t>https://www.olx.ua/d/uk/obyavlenie/prodazha-uchastka-14-sotok-tsentr-kiev-shevchenkovskiy-r-n-bez-komissii-IDWNiyv.html?isPreviewActive=0&amp;sliderIndex=9</t>
  </si>
  <si>
    <t>Адрес: ул. Вильгельма Котаржинского, 14 (Николая Кравченко), Шевченковский р-н. Размер участка: 0, 14 га. Статус участка: В собственности. Целевое назначение: Строительство и обслуживание жилого дома. Рельеф участка: Ровный. Форма участка: Прямоугольник. Строения на участке: Есть. Растения на участке: Есть. Подъезд к участку: Асфальтированный подъезд. Зона жилищной застройки. Удобная транспортная развязка. Цена: 670 000 у.е. БЕЗ КОМИССИИ</t>
  </si>
  <si>
    <t>2512182013260221</t>
  </si>
  <si>
    <t>https://www.olx.ua/d/uk/obyavlenie/zemelna-dlyanka-12-sotok-troschina-IDNsq88.html</t>
  </si>
  <si>
    <t>Власник. Затишна земельна ділянка 12 соток. Деснянський р-н, Троєщина. Знаходиться на перетині вулиць Справедливості та Радосинська ( колишня вул. Леніна). Заїзд з обох боків. Власник, всі необхідні документи в наявності. Поруч електрика, газ. Гарні сусіди (вже побудувалися). Також поруч школа, ТРЦ "Район", громадський транспорт, річка Десенка. Розташування ділянки дозволяє здійснити будь-який проект: від будівництва житлового будинку до реалізації свого бізнесу. В цей час на ділянці росте декілька великих дерев. За потреби, розчищення ділянки беру на себе. Цікавить продаж з повною оплатою і переоформленням ділянки на нового власника. Ціна 10 тис. дол. / одна сотка. Продаж максимально не спішний. Посередників прохання не турбувати.</t>
  </si>
  <si>
    <t>2512182013263510</t>
  </si>
  <si>
    <t>https://www.olx.ua/d/uk/obyavlenie/uchastok-pod-zastroyku-petropavlovskaya-borschagovka-IDY4Rm9.html</t>
  </si>
  <si>
    <t>Продам участок на Петропавловской Борщаговке под застройку 13 соток. Ул. Кооперативная 70. Фасад 20 метров. Очень хорошая локация в пешой доступности все магазины АТБ, NOVUS, ФОРА, АШАН и т.д. К окружной дороге 2 км. на машине. Прямой выезд на Житомирскую трассу через чайку. К Эпицентру пешком 10 минут. К обойному рынку пешком 15 минут. До маршрутной остановки 5 мин. На участке есть плодовые деревья, яблони, груши, виноград, орехи, абрикос, есть колодец, летняя кухня и старенький дом есть электричество, по улице проходит городская канализация, газ, очень хорошое тихое место в дали от шумной дороги машины ездят очень редко так как улица тупиковая. До леса 3 минуты ходьбы, до озера 2 минуты. Детский садик и школа в пешей доступности, до магазина 1 минута Есть возможность увеличения участка!!! Хорошие соседи. Цена за сотку 10 000 $</t>
  </si>
  <si>
    <t>2512182013268920</t>
  </si>
  <si>
    <t>https://www.olx.ua/d/uk/obyavlenie/prodazha-zemli-46-sotok-pod-zastroyku-taunhausa-goloseevskiy-park-IDXRmiU.html</t>
  </si>
  <si>
    <t>Київська, Київ, Армійська 7, площа: 46 соток. Цільове призначення - житлова забудова, навколо приватний сектор, поруч Голосіївський ліс, асфальт до будинку, поряд з ділянкою є всі необхідні комунікації - електроенергія, газ, вода, каналізація, 2 виїзди, до просп. Науки 10 хвилин пішки. Поряд зупинки громадського транспорту. Цена указана за 1 сотку.</t>
  </si>
  <si>
    <t>2512182013262039</t>
  </si>
  <si>
    <t>https://www.olx.ua/d/uk/obyavlenie/prodazha-uchastka-10sot-obolonskiy-r-n-prodazha-srochnaya-IDZ6oPn.html</t>
  </si>
  <si>
    <t>Элитный Кооператив «Чернобылец 2001». Участок находится на центральной улице, очень удобный подъезд. Широкие улицы (удобный маневр для машин в обоих направлениях). Земля – 10сот. Участок ровный, прямоугольной формы. Соседи – элитные особняки. Все коммуникации в наличии и централизованные (газ, вода, канализация) вдоль участка. Территория Кооператива охраняется/видеонаблюдение, освещена. Все асфальтировано. Удобная локация: метро Героев Днепра 30мин. в пешей доступности/ 7мин. на транспорте. Рядом супермаркет «Новус» 5мин. пешком, остановка транспорта и другая инфраструктура. Рядом Днепр, заповедная зона. Все соседи построены. Цена 240000у.е.</t>
  </si>
  <si>
    <t>2512182013268445</t>
  </si>
  <si>
    <t>https://www.olx.ua/d/uk/obyavlenie/zemelna-dlyanka-6-sot-vul-medova-solomyanskiy-kiv-IDXG4cN.html</t>
  </si>
  <si>
    <t>Продається земельна ділянка від власника!!! Без %, ділянка у власності Садове товариство: "Фронтовик" Загальна площа 0,6 га (6 соток), під забудову.
Підведена електроенергія, встановлений лічильник. Призначення: 01.06 Для колективного садівництва Розташування ділянка поряд з ЖК Медовий та аеропортом Київ, музей авіації. На авто 15 хвилин до центру столиці. Тихе і затишне місце для проживання в межах міста.</t>
  </si>
  <si>
    <t>2512182013269863</t>
  </si>
  <si>
    <t>https://www.olx.ua/d/uk/obyavlenie/prodazh-zemelno-dlyanki-golosvo-tsentr-tsimbalv-yar-IDYz9Hm.html</t>
  </si>
  <si>
    <t>Земельна ділянка в центрі зеленого Києва — Цимбалів Яр Площа: 10 соток Ціна за сотку. Цільове призначення: під житлову забудову. Виняткова пропозиція в Голосіївському районі — одна з найзатребуваніших і найзеленіших частин Києва. Ділянка розташована на тихій вулиці, серед приватної забудови, всього за 10 хвилин до центру міста. Є Газ/Світло/Центральна Каналізація. Тиха вулиця в межах міста, але не відірвана від активного життя.</t>
  </si>
  <si>
    <t>2512182013263555</t>
  </si>
  <si>
    <t>https://www.olx.ua/d/uk/obyavlenie/fasadna-dlyanka-19-sotok-blya-zhk-lko-grad-vul-grigorya-gulyaynitskogo-IDYjrFp.html</t>
  </si>
  <si>
    <t>ФАСАДНА ділянка в Голосіївському районі — для серйозних інвесторів. Київ, Голосіївський район, вул. Григорія Гуляйницького 42 — 19 соток під комерційний проєкт. Продається фасадна земельна ділянка площею 19 соток у серці динамічно розвинутого мікрорайону Києва. Це не просто шматок землі — це готова можливість для забудови прибуткового об'єкта! Ділянка розташована поруч з ЖК Ліко Град та ЖК Венеція — відо</t>
  </si>
  <si>
    <t>2512182013261537</t>
  </si>
  <si>
    <t>https://www.olx.ua/d/uk/obyavlenie/prodam-zemelnu-dlyanku-v-kiv-z-horoshoyu-lokatsyu-10-sotok-za-146900-IDYSLHh.html</t>
  </si>
  <si>
    <t>10 соток, вул. Маршака, 1 км від м. Академмістечко Двофасадна ділянка (Маршака + Мальвнича) – ідеально під 4–6 таунхаусів чи дуплекси Електрика 14 кВт, свердловина 25 м, 2 септики На територіі знаходиться будинок 60 м2, придатний до життя, але можна і під реконструкцію (можна використати як офіс/відділ продажів)</t>
  </si>
  <si>
    <t>2512182013260389</t>
  </si>
  <si>
    <t>https://www.olx.ua/d/uk/obyavlenie/zemelnyy-uchastok-6-sotok-kiev-podolskiy-rayon-IDT6QY5.html</t>
  </si>
  <si>
    <t>Продам фасадный участок размером 6 соток в Подольском районе Киева. Участок имеет прямоугольную форму, а его территория полностью ухожена и ограждена забором, включая автоматические ворота и калитку. Вдоль улицы проложен асфальт. Все необходимые коммуникации находятся рядом с участком. Имеется разрешение на подключение света, газа, канализации и водопровода. Место тихое и спокойное, а соседи приветливые. Целевое назначение - под жилую, гаражную и дачную застройку (можно переделать). Документы готовы. В наличии индивидуальный проект дома, утверждённый КГГА, в который входят: архитектурный, конструктивный и инженерный разделы. Инфраструктура поблизости: продуктовые магазины, стоматология, спортзал и сауна, чуть дальше школы и рынок. Маршрутка 472 в минуте ходьбы. Следует до станции метро Минская
Адрес - Гамалиевская, 45 (Бестужева)
Цена - 100 000$, договорная. Рассмотрю ваши предложения обмена и способы оплаты</t>
  </si>
  <si>
    <t>2512182013264871</t>
  </si>
  <si>
    <t>https://www.olx.ua/d/uk/obyavlenie/prodam-uchastok-zakrytyy-gorodok-zaezd-tupoleva-mrii-5-metro-nivki-IDXuLBL.html</t>
  </si>
  <si>
    <t>В продаже земля в комфортном расположении возле парка. Магазины, школа, детские сад. Метро, остановки маршруток. Закрытый городок. Соседи построены. На участке дом и летняя кухня. Можно использовать как бытовку для строителей. Электричество подлючено. Рядом городские коммуникации. Удобный асфальтированный Заезд с ул Туполева / Мрии 5. Садовая 4. Вторая линия от многоквартных домой. Отличное место для жизни или сдачи в аренду вдали от актывных удиц.</t>
  </si>
  <si>
    <t>2512182013264466</t>
  </si>
  <si>
    <t>https://www.olx.ua/d/uk/obyavlenie/prodazha-fasadnogo-uchastka-1-35-ga-stolichnoe-shosse-ot-vladeltsa-IDO3tD2.html</t>
  </si>
  <si>
    <t>Внимание!
Предлагается к продаже Фасадный Участок с назначением под коммерческое строительство.
Подходит для постройки торгового центра, магазина, автосалона, АТП, и др. Находится на пересечении ул. Заболотного и Столичного шоссе. Площадь: 1,35 га. Коммуникации: свет, вода, газ, канализация. Рядом находятся: ТРЦ Артмолл, ТРЦ Атмосфера, ТЦ Домосфера, и др. Участок правильной формы, ровный, фасад 90 м.. Стоимость: 1800 000 у.е.</t>
  </si>
  <si>
    <t>2512182013260004</t>
  </si>
  <si>
    <t>https://www.olx.ua/d/uk/obyavlenie/prodazh-zemelno-dlyanki-metro-demvska-prospekt-lobanovskogo-IDZeXSk.html</t>
  </si>
  <si>
    <t>Продаж земельної ділянки, правий берег, Голосіївський район, поряд з метро Деміївська, по вулиці Пролетарська, що межує з проспектом Валерія Лобановського. Поряд вулиця Мистецька. Центр міста.
10 соток. Цільове призначення: під житлову забудову. Ідеальне місце для будівництва житлового будинку або ж іншого типу житлової забудови фактично в центрі міста. Інфраструктура: Поряд з ділянкою знаходиться заправка WOG, інша житлова забудова, ресторани, готель та інше. Можливо зробити свій заїзд зі сторони проспекту Лобановського.</t>
  </si>
  <si>
    <t>2512182013264267</t>
  </si>
  <si>
    <t>https://www.olx.ua/d/uk/obyavlenie/bez-komsprodazh-zemelno-dlyanki-4-3-sotki-osokorki-kiv-IDYAk0w.html</t>
  </si>
  <si>
    <t>Продаж земельної ділянки Осокорки Київ: є можливість підʼєднати газ, площа 4,35 сотки, до метро Славутич 3.5 км, розташування 30 метрів до Дніпра. Знаходиться по вул.Садова 115 , третій будинок від річки , ділянка правельної форми . Є дачний будинок з цегли , двохповерховий .</t>
  </si>
  <si>
    <t>2512182013262130</t>
  </si>
  <si>
    <t>https://www.olx.ua/d/uk/obyavlenie/zemelna-dlyanka-solomyanskiy-rayon-IDSSClT.html?isPreviewActive=0&amp;sliderIndex=11</t>
  </si>
  <si>
    <t>Київ, Соломянський район, вул. Медова, СТ "ФРОНТОВИК", земельна ділянка - 4 сотки, правильної форми, світло на участку, 10 Квт, 3 фази, підїзд насипаний з асфальту, є можливості для зібльшення ділянки, деталі за телефоном.</t>
  </si>
  <si>
    <t>2512182013264484</t>
  </si>
  <si>
    <t>https://www.olx.ua/d/uk/obyavlenie/prodazh-dlyanki-pd-zabudovu-persha-lnya-vd-vodoymi-na-troschin-bez-IDWOpfi.html</t>
  </si>
  <si>
    <t>Продається ділянка з супер видом на озеро, в Деснянському районі м. Києва. Ділянка 10 соток, всього маємо 7 ділянок, є 20 соток разом! Всі ділянки на першій лінії від води! Без комісії! Ціна дуже приваблива, як для інвестицій, так і під будівництво свого будинку. Чудове місце в Києві під омріяне житло або бізнес! Поруч вже є сусіди, школа 1 км, 7 км до Північного моста! Насправді таких затишних міст під котеджну забудову в Києві дуже мало! В Вашій перспективі вечірні прогулянки містечком, тиша, чисте повітря, гарна набережна з ліхтарями та доглянутими газонами не залишать Вас байдужим!</t>
  </si>
  <si>
    <t>2512182013260042</t>
  </si>
  <si>
    <t>https://www.olx.ua/d/uk/obyavlenie/prodam-zemelnu-dlyanku-6-sot-kiv-rusanvsk-sadi-IDZ8a4w.html</t>
  </si>
  <si>
    <t>Київ, Дніпровський р-н, Русанівські сади, вул. 10 Садова (зі сторони залізниці). Земельна ділянка 5.9 сот. , цільове призначення - для ведення садівництва. На ділянці розташована двоповерхова будівля старого дачного типу не пристосована для життя - під знесення. На ділянці залізний гараж для машини, господарчі окремі приміщення, для води є окрім колонки електричний мотор, труби із нержавіючої сталі. Дерева, кущі і ялинки. По вулиці проходить магістральна газова труба. Близько 600м від ділянки зупинка кільцевої Київської електрички.</t>
  </si>
  <si>
    <t>2512182013261775</t>
  </si>
  <si>
    <t>https://www.olx.ua/d/uk/obyavlenie/golosvskiy-rayon-32-sotki-zeml-zhitlovo-ta-gromadsko-zabudovi-IDZ7IiS.html</t>
  </si>
  <si>
    <t>До продажу пропонується право оренди на земельну ділянку площею 31 сотка.
Кадастровий номер: 8000000000:79:301:0034. Категорія земель: Землі житлової та громадської забудови Вид цільового призначення: 03.10 Для будівництва та обслуговування адміністративних будинків, офісних будівель компаній, які займаються підприємницькою діяльністю, пов’язаною з отриманням прибутку. На даний час земельна ділянка НЕ перебуває в оренді Ділянка розташована біля центрального входу Голосіївського парку імені Максима Рильського. Ексклюзивне право оренди належить власнику Нежитлового приміщення загальною площею 1078 кв. м., яке знаходиться на даній ділянці (адресою місто Київ, Голосіївський проспект 87, літера "В").</t>
  </si>
  <si>
    <t>2512182013266787</t>
  </si>
  <si>
    <t>https://www.olx.ua/d/uk/obyavlenie/prodam-zemelnu-dilyanku-20-c-u-kievi-vul-eniceyska-230000-IDYmSFM.html</t>
  </si>
  <si>
    <t>Продам земельну дiлянку 20 соток у Киэвi - 230000 $. Вулиця Энiсейська, поруч iз проспектом Науки. Призначення - житлова забудова. Комунiкацii (газ, вода, електрика) - поряд. Зручне розташування: метро Демiiвська, розвинена iнфраструктура, тихий зелений район.</t>
  </si>
  <si>
    <t>https://www.olx.ua/d/uk/obyavlenie/zemelna-dlyanka-47-sotok-okruzhna-avtorinok-zhulyani-IDUAVKz.html</t>
  </si>
  <si>
    <t>Функціональне призначення земельної ділянки - територія для розміщення адміністративно-офісних та торговельних приміщень відповідно до детального плану території. Кадастровий номер: 3222486200:04:001:5548. Площа: 0,4675 га. Ділянка рівна, правильної форми і немає недоліків, які б заважали будівництву. Загороджена бетонним забором. На вʼїзді металеві ворота. Сусідні ділянки забудовані сучасними офісно-складськими приміщеннями. Фасад: 73,63 метра. Ширина 64.07 метра. У власності більше 3 років, тому податки при продажі відсутні. Наявні Містобудівні умови та обмеження для проектування обʼєкта будівництва торгівельно-складського комплексу.</t>
  </si>
  <si>
    <t>2512182013262637</t>
  </si>
  <si>
    <t>https://www.olx.ua/d/uk/obyavlenie/prodazh-zemelno-dlyanki-18-sot-v-m-kiv-vul-zakarpatska-116000-IDPmCBR.html</t>
  </si>
  <si>
    <t>Адреса земельної ділянки: м.Київ, вул.Закарпатська, 26, літ. Б, В. Земельна ділянка 18 сот. складається з двох поєднаних між собою земельних ділянок, площею 9 соток кожна та продається як одна ділянка. Кадастровый номер першої частини ділянки: 8000000000:79:094:0167, другої - 8000000000:79:094:0166. Геолокація першої частини земельної ділянки: 5О.З742ІЗ4, ЗО.52ООЗО9, другої - 5О.З74ІЗО8, ЗО.52О5З98 (в навігатор або мапу дані геолокації вводити тільки цифрами). Цільове призначення: для будівництва та обслуговування жилого будинку, господарських будівель і споруд. Земельна ділянка межує з Голосіївським лісом. Знаходиться на схилі пагорба. Уклін земельної ділянки складає близько 30 градусів. Земельна ділянка є заросшою деревами та кущами. Комунікації на земельну ділянку не заведені. Проте поруч знаходяться освоєні земельні ділянки з підведеними до них комунікаціями.</t>
  </si>
  <si>
    <t>2512182013267889</t>
  </si>
  <si>
    <t>https://www.olx.ua/d/uk/obyavlenie/prodazh-zeml-vidova-dlyanka-10-sotok-misholovka-golosvskiy-rn-IDY6wSf.html</t>
  </si>
  <si>
    <t>Продається земельна ділянка, 10 соток. Мишоловка (мишеловка). м. Київ, р-н Голосіївський, вул. Парникова, 3-б. Ділянка розташована на схилі - дуже гарний панорамний вид на голосіївський парк та Свято-Покровський монастир, і відсутності будь-яких забудов на майбутнє попереду ділянки(знизу ділянки починається яр). Дуже тихе місце прямо в лісу. Всі комунікації проходять по вулиці,або поруч. На ділянці є каркас будинку на палях ( за 50 тис у.е) ,проведені всі комунікації. Будинок залишилось обшити . На території ділянки є сторічні дуби! Сусіди частково забудовані. 8000000000:79:118:0250 Цільове призначення: для будівництва та обслуговування житлового будинку, господарських будівель і споруд. 0.0999 га</t>
  </si>
  <si>
    <t>2512182013263650</t>
  </si>
  <si>
    <t>https://www.olx.ua/d/uk/obyavlenie/bez-prodam-dlyanku-25-sotok-demvka-golosvskiy-r-n-kiv-IDZ5ihh.html</t>
  </si>
  <si>
    <t>Продам ділянку ( участок ) 25 соток на Діміївці ( Демеевка ) возле м. Деміївська ( Демеевская ) Голосіївський р-н. Лот складається з двох ділянок по 10 соток та ділянки 5 соток. Адреса: вул. Деміївська, земельна ділянка 12-А та 12-Б. Цільове призначення: для будівництва і обслуговування житлового будинку. Ділянка рівна, прямокутна. Має широкий заїзд. Поряд Центральний Автовокзал, ЖК "Сохо Резиденс", ЖК "Деміївка", ЖК " Парк Авеню". До метро Деміївська 5 хвилин пішки.</t>
  </si>
  <si>
    <t>2512182013260369</t>
  </si>
  <si>
    <t>https://www.olx.ua/d/uk/obyavlenie/stoletova-14a-uchastok-14sot-v-10-min-ezdy-k-tsentru-goroda-IDJXpgZ.html</t>
  </si>
  <si>
    <t>Продам земельный участок под застройку рядом с проспектом Науки. 10 соток приватизированных, 4 сотки в пользовании. На земле стоит дом под снос. Газ, Свет, Вода - на участке. Хорошо развита инфраструктура, почти центр Киева и в то же время тихое и зеленое место, хорошие соседи, рядом - спорткомплекс с бассейном, магазины, кафе, гимназия, дет.сад, аптеки, кинотеатр, лес, заповедная зона... До центра города -10 мин. автомобилем. До метро Демиевская- 2остановки транспортом. Цена: 190000 USD.</t>
  </si>
  <si>
    <t>2512182013263799</t>
  </si>
  <si>
    <t>https://www.olx.ua/d/uk/obyavlenie/bez-kiv-golosvskiy-30-sotok-pd-zhitlovu-ta-komertsyno-zabudov-IDYahbe.html</t>
  </si>
  <si>
    <t>Київ, Голосіївський район. Жулянська 7 А приватна власність, 30 соток. Прямий продаж від власника! Ріелторам не турбувати. 8000000000:79:483:0028 землі житлової та громадської забудови для будівництва, експлуатації та обслуговування торгового центру, розроблено та узгоджено всю технічну документацію.</t>
  </si>
  <si>
    <t>2512182013263611</t>
  </si>
  <si>
    <t>https://www.olx.ua/d/uk/obyavlenie/prodam-dlyanku-pd-zhitlovu-zabudovu-vul-yamska-54-IDW42g7.html?isPreviewActive=0&amp;sliderIndex=9</t>
  </si>
  <si>
    <t>Продам ділянку під житлову забудову 9.65 соток, Центр, Голосіївський район, вулиця Ямська 54. Кадастровий номер 8000000000:79:034:0009. Об'єкт визнано таким, що не підлягає занесенню до Державного реєстру нерухомих пам'яток України. Призначення: будівництво та обслуговування житлового будинку, господарських будівель і споруд. Є акт на землю, договір купівля-продажу на будинок, будинок під знесення. Усі міські комунікації: електрика, центральна каналізація, газ. Метро Палац України 10 хвилин пішки.</t>
  </si>
  <si>
    <t>2512182013260747</t>
  </si>
  <si>
    <t>https://www.olx.ua/d/uk/obyavlenie/prodazh-bez-zemelno-dlyanki-misholovka-kaschenka-kvtki-osnovyanenko-IDXS3qY.html</t>
  </si>
  <si>
    <t>продаж ділянки (під забудову до 300 кв.м.) загальною площею 0,0973 га, прямокутна ділянка. Знаходиться в м.Київ, Голосіївський район, вул. Академіка Кащенка, Мишоловка. Вже можна будуватися. Сусіди побудовані з обох сторін.
Зроблені підготовчі роботи, розроблений проєкт будинку на 238 кв.м. Основні роботи (готові): бетонне укріплення схилу за проєктом що передбачає потрійне навантаження; підсипка та трамбовка (за допомоги спецтехніки) ґрунту, підведення 1 з 2 лінії електропостачання із лічильником для забезпечення робіт 15кВт на ділянці. Є можливість підтягнути додаткову гілку ще на 10-12 кВт (до ТП десь 300 метрів). Поряд каскади озер з зонами відпочинку та велотрасами. Майже межує із Голосіївським лісом, недалеко Пирогово, Феофанія. Ціна 85 000 у.о.</t>
  </si>
  <si>
    <t>2512182013269425</t>
  </si>
  <si>
    <t>https://www.olx.ua/d/uk/obyavlenie/uchastok-13sot-kiev-chapaevka-brodovskaya-143-149-fasad-59metrov-podsypan-IDUqJNX.html</t>
  </si>
  <si>
    <t>Участок, 13.5 соток, Киев, Чапаевка, Голосеевский район. улица Бродовская 143-149. Фасад 59 метров. Ровный. Огражден, подсыпан, выровнян. Рядом улица Лазурная. С тыльной стороны авторынка Чапаевка. На двух актах – 10сот и 3.5сот. Без комиссии, от хозяина.</t>
  </si>
  <si>
    <t>2512182013269556</t>
  </si>
  <si>
    <t>https://www.olx.ua/d/uk/obyavlenie/prodam-zemelnyy-uchastok-13sotok-kiev-prospekt-lobanovskogo-62-IDV9B5A.html</t>
  </si>
  <si>
    <t>Продам земельный участок, общей площадью 13 соток: кадастровый номер 8000000000:72:173:0023; кадастровый номер 8000000000:72:173:0003. Участок расположен в самом центре Киева, проспект Валерия Лобановского,62 Пересечение Соломенского и Голосеевского районов. Участок фасадный, угловой. Остановка общественного транспорта - напротив участка, метро Голосеевская, Демеевсксая, Либидская в 15 минутах от участка. На участке стоит дом, общей площадью 61.1 кв.м. На участке есть электрика. Целевое назначение земли: для строительства и обслуживания жилого дома, хозяйственных зданий и сооружений.</t>
  </si>
  <si>
    <t>2512182013265850</t>
  </si>
  <si>
    <t>https://www.olx.ua/d/uk/obyavlenie/prodazha-uchastka-goloseevskiy-tsentr-baykalskaya-10-sotok-zakrytaya-terr-IDNxxaM.html?isPreviewActive=0&amp;sliderIndex=0</t>
  </si>
  <si>
    <t>Предлагаем уникальный участок в центре Киева,на границе Печерского и Голосеевского районов.Участок расположен на закрытой территории(шлагбаум)новых ЖК.Прекрасный асфальтированный под'езд,2 мин ~ и Вы на проспекте Науки .Идеален как для строительства частного дома~всегда безопасно на закрытой, территории,так и для малоэтожного многоквартирного комплекса или коммерции~в окружении такого соседства,Ваш магазин,клиника или фитнесклуб с салоном красоты всегда будут пользоваться спросом!</t>
  </si>
  <si>
    <t>2512182013264180</t>
  </si>
  <si>
    <t>Пропозиція від власника! Продається земельна ділянка 9 соток, яка знаходиться за адресою вул. Бродівська, 86, мікрорайон Віта-Литовська (Чапаєвка), Голосіївський р-н. Кадастровий номер ділянки - 8000000000:90:056:0049. На ділянці знаходиться будинок. Під'єднані газ та електрика. Вода - скважина. Земельна ділянка і будинок - приватизовані. До ділянки веде асфальтована дорога. Наявність міського транспорту у пішій доступності.</t>
  </si>
  <si>
    <t>2512182013267554</t>
  </si>
  <si>
    <t>https://www.olx.ua/d/uk/obyavlenie/zhulyani-dlyanka-v-kiv-6-sotok-vul-troyandova-kotedzhne-mstechko-schastya-IDOxnYh.html</t>
  </si>
  <si>
    <t>Продаю земельну ділянку 6 соток (дві ділянки по 6 сток на вибір), розташовані у Києві, Солом'янський район (Жуляни). КМ Щастя Вул. Трояндова 53
Розмір ділянки: 14.5м фасад х 42м довжина
Ділянка рівна, правильної форми. Ідеально підходить для будівництва. Сусіди побудовані та проживають. Закритий КМ Щастя. Зручне розташування. Асфальтована дорога до ділянки. Електроенергія - стандартне підключення. Шлагбаум з пульта. Охорона, відеоспостереження. До метро Васильківська 2км. Є можливість придбати 12 соток за 85000$ 8000000000:72:501:0169 8000000000:72:501:0174</t>
  </si>
  <si>
    <t>2512182013261877</t>
  </si>
  <si>
    <t>https://www.olx.ua/d/uk/obyavlenie/dlyanka-19-sotok-fasad-prosp-nauki-stolichne-shose-IDFJFKR.html</t>
  </si>
  <si>
    <t>Продаж фасадної ділянки 19 соток зі старим будинком на просп. Науки у Голосіївському районі. Підійде під автостоянку, СТО, мийку або будівництво житлового будинку чи комерційного об'єкта нерухомості. Ділянка фасадна та кутова з провулком, будинок підключений до електричної мережі - 15 кВт та води. Газ та центральна каналізація проходять вздовж ділянки по вулиці. Рельєф з невеликим ухилом. До Столичного шосе 200 метрів. Торг можливий. Кадастровий номер 8000000000:82:414:0201. Не приватизована. На будинок всі належні документами є - знаходиться у власності.</t>
  </si>
  <si>
    <t>2512182013265214</t>
  </si>
  <si>
    <t>https://www.olx.ua/d/uk/obyavlenie/prodazha-20-sotok-ul-teterevskaya-IDMYF6l.html?isPreviewActive=0&amp;sliderIndex=3</t>
  </si>
  <si>
    <t>Продажа 20 соток под строительство Голосеевский район ул.Иртышская (Тетеревская) участок состоит из 2х по 10 соток, подходит под малоквартирный дом (апартаменты), есть рабочий проект. Также локация подходит под частный детский сад и др. Цена: 230000у.е.</t>
  </si>
  <si>
    <t>2512182013265183</t>
  </si>
  <si>
    <t>https://www.olx.ua/d/uk/obyavlenie/26-sot-uchastok-luchshiy-v-kieve-vlasnik-IDxKnbi.html</t>
  </si>
  <si>
    <t>Мечта состоятельного человека. Переулок Краматорский 6 На Печерске такого не найдёте. Редкий в своём роде участок в одном из центральных районов города. (райский уголок) Все городские коммуникации, ландшафтный рельеф,с лева и с права по соседству современные особняки. Участок граничит с рощей. В роще 10 сот Выход в рощу только из моего участка. В роще поляна, и прогулочная тропинка. Добро пожаловать на просмотр. Останетесь довольны от просмотра. Дорого. за то, больше не у кого такого нет.</t>
  </si>
  <si>
    <t>2512182013263342</t>
  </si>
  <si>
    <t>https://www.olx.ua/d/uk/obyavlenie/prodazh-zemelno-dlyanki-5-sotok-IDYJwPm.html</t>
  </si>
  <si>
    <t>Пропонуємо ділянку в Голосіївському районі, по вул. Ковельська. Призначення - будівництво та обслуговування житлового будинку. Підведені всі комунікції (вода, газ, електрика) окрім каналізації. На ділянці є старий будинок. Затишне місце. В пішій доступності магазини, школа, дитячий садок, ст. метро Деміївська. Неподалік розташований чудовий Голосіївський парк з озерами.</t>
  </si>
  <si>
    <t>2512182013265201</t>
  </si>
  <si>
    <t>https://www.olx.ua/d/uk/obyavlenie/zemelna-dlyanka-darnitskiy-rayon-bortnichi-IDU70N0.html</t>
  </si>
  <si>
    <t>Продам земельну ділянку 5 соток в Нижніх Бортничах, під забудову. Ділянка приватизована, газ, світло поруч. Дорога асфальтована, сусіди живуть. Прописка Київська Дарницького району. У пішій доступності озера та ліс. $ 18000.</t>
  </si>
  <si>
    <t>2512182013269514</t>
  </si>
  <si>
    <t>https://www.olx.ua/d/obyavlenie/koms-0-naykrascha-tsna-osokorki-prodazh-zemelno-dlyanki-IDXW1ad.html</t>
  </si>
  <si>
    <t>Комісії 0% Продаж ділянки під забудову по найкращий ціні! Київ. Дарницький район. Осокорки. Курортна територія з озерами та уздовж Дніпра Район 150 вулиці Садової. «Біла дача». Збільшена ділянка 8,64 сотки. Кадастровий номер 800000000:90:514:0010 До метро Славутич 3 км. 5 хвилин їзди. Поруч зупинка громадського транспорту та продуктовий магазин. Поруч озеро Підбірна з облаштованим пляжем.Заїзд на ділянку з 2 вулиць.Є можливість паркування декількох автомобілів. На ділянці є дачний будинок з можливістю проживання в літній сезон. 2 скважини. Гарні сусіди. Швидкий продаж. Ціна 47000 у.о.</t>
  </si>
  <si>
    <t>2512182013268262</t>
  </si>
  <si>
    <t>https://www.olx.ua/d/obyavlenie/prodazh-zemelno-dlyanki-osokorki-darnitskiy-rayon-nizhn-sadi-IDSOJKk.html</t>
  </si>
  <si>
    <t>Київська обл., Київ, Садова (Осокорки), ведення садівництва, площа: 0,12 га; Київська, Київ, Садова (Осокорки), Ділянка 12 соток під ведення садового господарства, підведені усі необхідні комунікації: газ, вода, електроенергія. 5.7 км від ст.М.Славутич". Поруч невеличке озеро. Призначення: Під ведення садівництва. Поруч приватні будинки, порядні сусіди, дорога, неподалік магазини, зупинка транспорта. Кадастровий номер 3220882600:04:007:1408</t>
  </si>
  <si>
    <t>2512182013263943</t>
  </si>
  <si>
    <t>https://www.olx.ua/d/obyavlenie/m-kiv-osokorki-vul-sadova-156-metro-slavutich-IDZ5Jdc.html</t>
  </si>
  <si>
    <t>Ділянка зручно розташована на лівому березі м. Києва, дачний масив Осокорки, вул. Садова 156, ділянка 41. Стоїть літній, двоповерховий, електрифікований будиночок. Гараж для автомобіля. Свердловина для води. Відстань до Метро "Славутич" = 3 км. До головного перехрестя вул. Центральна і вул. Колекторна (виїзд на вул. Ващенка) = 2 км. До зупинки громадського транспорту по вул. Центральній = 500 метрів. Дорога вся асфальтована, окрім 100 метрів до ділянки, але ці 100 метрів = рівна, утрамбована щебенем, ґрунтовка. Ділянка приватизована, площа 0,045 га.. Форма ділянки = майже ідеальний квадрат! Навколо все розвивається і будується. Багато сусвдів, живуть постійно (і взимку), всі вічливі, без "претензій". Все більше молодих сімей з дітьми. До озера "Підбірне" = 100 метрів. Пляж СТ "Світанок" = найкращий з усіх громадських в Осокорках! Силами мешканців і завдячуючи безпосередній близькості до "Храму Успіння" Пресвятої Богородиці (Українська Православна Церква) вдалось створити чисте і дуже гарне місце для відпочинку біля води. Продаж від власника. Відкритий до пропозицій.</t>
  </si>
  <si>
    <t>2512182013268356</t>
  </si>
  <si>
    <t>https://www.olx.ua/d/obyavlenie/prodam-dlyanku-po-vul-novatorv-IDYMzGF.html?isPreviewActive=0&amp;sliderIndex=5</t>
  </si>
  <si>
    <t>Пропоную вашій увазі ділянку, яка розташована по вул. Новаторів 40/1 і має кадастровий номер 8000000000:66:143:0021. Ділянка правильної форми, 3 сотки, під забудову.</t>
  </si>
  <si>
    <t>2512182013263474</t>
  </si>
  <si>
    <t>DOMRIA</t>
  </si>
  <si>
    <t>https://dom.ria.com/uk/realty-prodaja-uchastok-pod-jiluyu-zastroyku-kiev-osokorki-2-ya-ozernaya-ulitsa-33583320.html</t>
  </si>
  <si>
    <t>Продається земельна ділянка площею 0, 0527 га, у садовому товаристві, Осокорки, вул. Озерна-2 діл.24 На ділянці: аварійний будинок 6х5м (під знесення), скважина, електрика заведена, фасадний та між ділянкові паркани. Ділянка рівна. До метро «Славутич» - 5 км, до озера «Холодне»- 60 м. Торг доречний Вода: свердловина Під'їзд: відеоспостереження на території На території є: сад  •  паркан Характеристика ділянки: Розташування: в дачному кооперативі  •  рельєф: рівнинний  •  Довжина ділянки: 35  •  Ширина ділянки: 15 Інше: під гараж Обладнання  •  меблі  •  зручності: електрика  •  вивіз відходів  •  каналізація септик Унікальні переваги: свердловина</t>
  </si>
  <si>
    <t>2512182013267744</t>
  </si>
  <si>
    <t>https://dom.ria.com/uk/realty-prodaja-uchastok-pod-jiluyu-zastroyku-kiev-osokorki-maslovka-ulitsa-33490202.html</t>
  </si>
  <si>
    <t>Продам ділянку в Дарницькому районі, метро Славутич.вул.Маслівка 30А, ділянка 10 соток, на яких розташований будинок (з документами), також на ділянці є альтанка, душ.поруч проходить газ.поруч з ділянкою є невеличка водойма.(можна робити свій полив) До Дніпра (пляжна зона) 7 хвилин пішки. під'їзд до ділянки грунтоака дорога.є можливість реєстрації, ділянка знаходиться в селі , не на дачах</t>
  </si>
  <si>
    <t>2512182013267876</t>
  </si>
  <si>
    <t>https://www.olx.ua/d/uk/obyavlenie/prodazh-zeml-dlyanki-blya-dnpra-metro-slavutich-vul-sadova-49-IDYFRbl.html</t>
  </si>
  <si>
    <t>ез комісії! Пропонується на продаж ділянка біля Дніпра. Метро Славутич. СТ "Дніпро-1", вул.Садова-49. Перша лінія від Дніпра, 2 хв.пішки до пляжу. Площа 5,5 соток. По фасаду 25м. На ділянці є світло (від Київенерго). Свердловина 18м. На ділянці є садовий будиночок, літній, не капітальний. Гарна транспортна розвязка. До метро Славутич 2,5 км.</t>
  </si>
  <si>
    <t>2512182013264478</t>
  </si>
  <si>
    <t>https://www.olx.ua/d/uk/obyavlenie/prodazh-zmelno-dlyanki-12-sotok-v-bortnichah-darnitskiy-rayon-kiv-IDXuMJr.html</t>
  </si>
  <si>
    <t>Продаж прямокутної великої ділянки в сосновому лісі загальню площею 12 соток на вулиці Лисова, мікрорайон Бортничі, Київ. Ділянка знаходиться в котеджному містечку поряд з постройками та будиночками. Дорога асфальтована. На ділянці 12 кВт електроенергії договор з ДТЕК. Ділянка приватизована є право власності. Можлива покупка двух міжуючих ділянок. До метро Бориспільська 2,5 км. Ціна ділянки 102 000 у.о.</t>
  </si>
  <si>
    <t>2512182013264631</t>
  </si>
  <si>
    <t>https://www.olx.ua/d/uk/obyavlenie/vash-maybutny-budinok-u-pdnzhzhya-lsu-dvrz-10-sotok-IDZ5ZUA.html</t>
  </si>
  <si>
    <t>Продається земельна ділянка 10 соток під забудову!
Київ, Дніпровський район, ДВРЗ, вул. Літинська, 10
До вашої уваги — земельна ділянка площею 10 соток, розташована в затишному, зеленому районі столиці — ДВРЗ. Цільове призначення — під індивідуальне житлове будівництво Правильна форма, рівна поверхня. Асфальтований під’їзд. Комунікації поруч (електрика, газ, вода). Є можливість викупу сусідньої ділянки, що відкриває додаткові перспективи для масштабного будівництва або інвестування!</t>
  </si>
  <si>
    <t>2512182013268258</t>
  </si>
  <si>
    <t>https://www.olx.ua/d/uk/obyavlenie/prodazha-zemlya-pd-zhitlovu-zabud-bortnich-10-sotok-IDYEgBe.html</t>
  </si>
  <si>
    <t>Продаємо земельний участок , Бортничі, 9,4 сотки. За документами м Київ, 2й провулок Гоголя, 8 , Дарницький район. Приватизовано, кадастровий номер 8000000000:90:030:0072. Цільове призначення- під житлову забудову. Участок прямокутної форми 22×37 м , є сусіди. На участок проведена електроенергія, також проект будівництва будинку, узгоджений в місті. По ціні 29900 доларів</t>
  </si>
  <si>
    <t>2512182013267634</t>
  </si>
  <si>
    <t>https://www.olx.ua/d/uk/obyavlenie/predlagaetsya-uchastok-10-sot-osokorki-m-slavutich-10-min-hodby-IDSz0g8.html</t>
  </si>
  <si>
    <t>Предлагается участок 10 соток на Осокорках ул. Малоземельная . М. Славутич 10 минут ходьбы. Участок 10 соток, на участке старый дом 70м2. Заведен газ, электричество, есть скважина. Кадастровый номер: 8000000000:90:803:0036. Целевое назначение земли - строительство жилого дома. Есть так же при возможность разделить участок и приобрести 3,3 сотки или 6,7</t>
  </si>
  <si>
    <t>2512182013268374</t>
  </si>
  <si>
    <t>https://www.olx.ua/d/uk/obyavlenie/prodam-dlyanku15-sotoku-vlasnost-pd-zabudovu-na-yaroslavv-val-17-IDVpvoq.html</t>
  </si>
  <si>
    <t>Ділянка під забудову жітлового будинку 15 соток у власності в самому центрі історичного Києва на вулиці Ярославів вал.</t>
  </si>
  <si>
    <t>2512182013264240</t>
  </si>
  <si>
    <t>https://www.olx.ua/d/uk/obyavlenie/prodam-zemelnu-dlyanku-v-shevchenkvskomu-rayon-IDZ6BMk.html</t>
  </si>
  <si>
    <t>Продам земельну ділянку та стару будівлю в Шевченківському районі міста 10сот.</t>
  </si>
  <si>
    <t>2512182013260718</t>
  </si>
  <si>
    <t>https://www.olx.ua/d/uk/obyavlenie/zemelna-dlyanka-10-sotok-v-s-t-kozhevnk-vul-otto-shmdta-22-26-IDXwh8S.html</t>
  </si>
  <si>
    <t>Садове товариство "Кожевнік" розташоване на схилі гори між: місцевість Татарка - вул. Отто Шмідта та район Поділ - вул. Богуславський узвіз. Ділянка - 10 соток та садовий будиночок 9,2 м2 Цільове призначення - Для колективного садівництва, експлікація земельних угідь. Кадастровий номер - 8000000000:91:109:0056. Форма ділянки - ломаної конфігурації, рельєф - гористо-каскадний. Комунікації - електрика. Недоліки розташування - по с/т "Кожевнік" нема транспортного руху, тільки пішохідний. Машину потрібно залишати на Богуславському узвозі. Документи на земельну ділянку і на будиночок. Райський куточок природи для відпочинку в шумному місті. Багато зелених насаджень, плодові дерева, зачаровує спів пташок. Ділянка продається цілком, на частини не ділиться. Ціна 68000 у.о.</t>
  </si>
  <si>
    <t>2512182013268157</t>
  </si>
  <si>
    <t>https://www.olx.ua/d/uk/obyavlenie/prodazh-zemelno-dlyanki-pd-zabudovu-IDXgI0L.html</t>
  </si>
  <si>
    <t>Продаж земельної ділянки біля американського посольства 6,5сот під забудову, бізнесу , СТО та є ще декілька під садівництво. Має ухил. На ділянці розташовані будинок, гараж та сарай в не дуже доброму стані . Електрика 220В підключена до будинку , вздовж ділянки проходять кабель 380В. Газова труба знаходиться поруч ділянки у сусідів. підїзд, є водопостачання і каналізації біля будинку . Поруч розташовані метро Берестейська, Сирень, Дорогожичи, гарна транспортна розв'язка в будь якому напрямку міста.</t>
  </si>
  <si>
    <t>2512182013263291</t>
  </si>
  <si>
    <t>https://www.olx.ua/d/uk/obyavlenie/prodazha-uchastka-kiev-syrets-ul-rudanskogo-IDRHcAb.html</t>
  </si>
  <si>
    <t>Продажа участка, под индивидуальное строительство, в перспективном месте.
Шевченковский район, ул. Руданского 8., 10 соток, на участке старые постройки под снос.( по документам - без построек), по соседству высотная застройка и частные домовладения. Может рассматриваться под любой вид деятельности. Без коммуникаций. Документы в порядке.
Стоимость : 135.000 долл</t>
  </si>
  <si>
    <t>2512182013266500</t>
  </si>
  <si>
    <t>https://www.olx.ua/d/uk/obyavlenie/prodazh-dlyanki-9-sot-poruch-z-parkom-dubki-ta-posolstvom-ssha-IDWEi8w.html</t>
  </si>
  <si>
    <t>Продаж ділянки 9 сот. + 1\2 будинку (65 кв.м.) за адресою вул. Сонячна 3, Шевченківський р-н. Всі комунікації. Вулиця асфальтована, гарні сусіди. Ділянка знаходиться поряд з посольством США в Україні. Поруч Парк Дубки, Парк Нивки, Сирецький парк. До СТ.М. "Нивки" - 5 хв., СТ.М. "Берестейська" - 5 хв. до СТ.М. "Сирець" - 7 хв. Кадастровий номер: 8000000000:88:026:0039. Вид використання: для будівництва та обслуговування житлового будинку, господарських будівель і споруд.</t>
  </si>
  <si>
    <t>2512182013260070</t>
  </si>
  <si>
    <t>https://www.olx.ua/d/uk/obyavlenie/prodazh-dlyanki-bez-komsynih-na-podol-vul-frolvska-IDZg5kT.html</t>
  </si>
  <si>
    <t>Продаж ділянки під забудову на Подолі: Фролівська 9/11 (без комісії)
Ексклюзивна пропозиція! Фасадна земельна ділянка площею 1,01 га, розташована в престижному історичному районі Києва – на Подолі, за адресою вул. Фролівська 9/11. Відмінна локація поруч з метро "Контрактова площа".
Площа: 1,01 га.
Розташування: Центр Подолу, метро "Контрактова площа". Особливості: Фасадна, правильної форми. Наявність: Невелика будівля на ділянці. Цільове призначення: Під забудову. Вартість: 12 000 000 у.о. Стратегічно важливий об'єкт для девелоперів, що шукають великі площі в центральній частині столиці.</t>
  </si>
  <si>
    <t>2512182013260507</t>
  </si>
  <si>
    <t>Продаж земельної ділянки в центральному районі Києва. Адреса: Київ, вул. Кудрявська, 23 Кадастровий номер: 8000000000:91:134:0021 Загальна площа: 0,2785 га. Цільове призначення: землі промисловості, комерційного використання та громадського призначення. До ділянки підведені всі комунікації.
Заїзд асфальтований з вул. Кудрявська. Також, можливо зробити ще один заїзд з вул.Глибочицька. При заїзді є ще одна ділянка 0,1Га під паркування або 5-ти поверхову будівлю ( входить у вартість). На ділянці є двоповерхова будівля 500м2 та ангар.</t>
  </si>
  <si>
    <t>2512182013262016</t>
  </si>
  <si>
    <t>https://www.olx.ua/d/uk/obyavlenie/prodazh-dlyanki-kiv-podl-22-s-prov-tsimlyanskiy-18-m-kontraktova-pl-IDZ5YHV.html?reason=extended_search_extended_distance</t>
  </si>
  <si>
    <t>Продаж Ділянки під будівництво багатоквартирного будинку м. Киів Центральний Поділ, провулок Цимлянський 14, 18, 18а, метро Контрактова площа. ділянка 22 сотки, даний будинок на фото введений в експлуатацію. призначення: для будівництва та обслуговування житлового будинку, господарських будівель та споруд;
локація: 50°28'03.9"N 30°30'15.4"E Документи право власності. Продаж трьох земельних ділянок разом, загальною площею 0,2145 га, із реальною можливістю збільшення площі ще - від 0, 16 га до 0, 45 га. Ділянка розташована в центральному Подолі м. Києва: 650 метрів до метро Контрактова площа; 1100 метрів до Контрактової площі;  3 кілометри до Майдану Незалежності. Зокрема, згідно графічних матеріалів: A. Перебувають у приватній власності три ділянки: 1 – адреса: провулок Цимлянський, 14 у Подільському районі м. Києва, площа: 0,10 га, цільове призначення: для будівництва та обслуговування житлового будинку, господарських будівель та споруд; 2 – адреса: провулок Цимлянський, 18 у Подільському районі м. Києва, площа: 0,10 га, цільове призначення: для будівництва та обслуговування житлового будинку, господарських будівель та споруд; 3 - адреса: провулок Цимлянський, 18-а у Подільському районі м. Києва, площа: 0,0145 га, цільове призначення: для ведення індивідуального садівництва. B. Можливість збільшення площі ще від 0, 16 га до 0, 45 га: 4 – Дорога під сервітут, площею 0,0859 га (на схемі вказана як дорога рожевим кольором) , розроблена технічна документація із землеустрою щодо встановлення меж частини земельної ділянки, на яку поширюється право сервітуту, готова для відправки до Київради.</t>
  </si>
  <si>
    <t>2512182013263191</t>
  </si>
  <si>
    <t>https://www.olx.ua/d/uk/obyavlenie/prodazh-zemlya-pd-sad-ogorod-ogrkova-nivki-kiv-IDZhNeC.html?reason=extended_search_extended_distance</t>
  </si>
  <si>
    <t>На продаж пропонується 6 соток землі в С/Т "Арсеналець", Подільський р-н. Нивки Площа: 6 соток Призначення: земля під сад, огород Кадастровий номер: Ділянка(6 соток) 8000000000:91:430:0032</t>
  </si>
  <si>
    <t>2512182013267255</t>
  </si>
  <si>
    <t>https://www.olx.ua/d/uk/obyavlenie/uchastok-pod-kommertsiyu-kiev-podol-zhk-lipinka-zamkovetska-IDY4GRz.html?reason=extended_search_extended_distance</t>
  </si>
  <si>
    <t>Чудова Фасадна Земельна Ділянка в Києві під комерційну забудову, у центрі великого житлового елітного комлексу ЖК Липинка
Ідеально під торгівлю, кафе, офіс, послуги Нової Пошти, та інший бізнес Ідеальний варіант інвестицій! Київ, Подільский р-н, в центрі ЖК Липинка, вулиця Замковецька Площа: 10 соток. Форма ділянки майже квадратна 26 х 36 метрів. Приватна власність. Є всі документи на будівництво та МБУ, готовий проект на 800 кв.м. забудови, є потенційні орендарі. На ділянку заведена електрика, вода та центральна каналізація. Вартість: 370000$, можливо партнерство.</t>
  </si>
  <si>
    <t>2512182013262049</t>
  </si>
  <si>
    <t>https://www.olx.ua/d/uk/obyavlenie/prodazh-zemelno-dlyanki-kiv-vul-storozheva-5-97-s-IDXdHsx.html?reason=extended_search_extended_distance</t>
  </si>
  <si>
    <t>Продається земельна ділянка в Києві. Вул Сторожева (заїзд з вул. Мрії) Площа - 0,0597 га. Чудове місце для для побудови Офісу, гостиниці, тощо. Цільове призначення: для ведення садівництва. 110000$</t>
  </si>
  <si>
    <t>2512182013261086</t>
  </si>
  <si>
    <t>https://www.olx.ua/d/uk/obyavlenie/0-prodazh-fasadno-dlyanki-6-sotok-vana-vigovskogo-sirets-nivki-IDV19TR.html</t>
  </si>
  <si>
    <t>Без комісії для покупця! Київ, Подільський район, фасад на вулицю Івана Виговського в 15 хвилинах (3 км) їзди від метро Сирець чи Нивки на громадському транспорті. Площа землі 6 соток (30х20) ділянка правильної форми та пропорції (є можливість збільшення до 12 соток), асфальтований під'їзд, електрика заведена 25 кВт, вода центральна + скважина, газ та центральна каналізація по вулиці. На ділянці зведений дачний будинок та гараж. У пішій доступності продуктові магазини, ресторан, готелі, дитячий садок, школа, нова пошта, автобусна зупинка тощо. За деталями телефонуйте або пишіть месенджері.</t>
  </si>
  <si>
    <t>2512182013261061</t>
  </si>
  <si>
    <t>https://www.olx.ua/d/uk/obyavlenie/zemelna-dlyanka-5-15-sotok-podlskiy-rayon-IDYUDaT.html</t>
  </si>
  <si>
    <t>Ділянка у садовому товаристві "Тюльпан-1" розташована м. Київ, Подільський район, вул. Тираспольська, 68б При в'їзді на територію автоматичні ворота, працюють через додаток, шикарне сусідство з двома сучасними ЖК "Місто Квітів" та "Сирецькі Сади", поряд великий парк Сирецький Гай і Дендропарк, дуже добре розвинена інфраструктура району: супермаркети, садочки, школи, кав'ярні, відділення банку, зручна транспортна розв'язка, поряд зупинки громадського транпорту. Є відеоогляд.</t>
  </si>
  <si>
    <t>2512182013266980</t>
  </si>
  <si>
    <t>https://www.olx.ua/d/uk/obyavlenie/prodazh-veliko-dlyanki-18-sotok-z-budinkom-berkvts-stetsenka-IDXDd5m.html</t>
  </si>
  <si>
    <t>Без комісії для Вас! Такої ділянки в цьому районі НЕМАЄ більше!Продаж великої ділянки 18 соток С/Т Метробудівець-1 41а Садова, Берківці, вул. Стеценка (Туполева) в м. Києві. Ділянка складається з 3 ділянок (продаються разом), рівна, знаходиться на закритій вулиці, на вулиці 3 будинки, відкатні, автоматичні ворота, огороджена бетонним забором. Документи в повному порядку, є зареєстрований будинок. На території ділянки є маленький будинок, який можна реконструювати під Ваш проект! Чудова локація, тихий район, поруч є все необхідне, ТЦ ЛавінаМолл, 10 хвилин до центру міста! Підходить під будівництво таунхаусів, дуплексів чи декількох будинків!</t>
  </si>
  <si>
    <t>2512182013262955</t>
  </si>
  <si>
    <t>https://www.olx.ua/d/uk/obyavlenie/perspektivnyy-uchastok-v-perspektivnom-rayone-kieva-IDs4OuV.html</t>
  </si>
  <si>
    <t>Продажа от собственника.Не срочная продажа,даром не отдам от слова совсем.На участке нет коммуникаций,все находится рядом ,в доль этой же улице,подключения не сложные в наше время. Цільове призначення: Для індивідуального житлового, гаражного і дачного будівництва Для будівництва та обслуговування житлового будинку, господарських будівель і споруд.После этого,все становится ясно,и понятно мне кажется. Рассмотрю интересные варианты обменов. Площадь участка 0,8Га прямоугольной формы .район подольский ,ул.Сырецкая 84/2</t>
  </si>
  <si>
    <t>2512182013261856</t>
  </si>
  <si>
    <t>https://www.olx.ua/d/uk/obyavlenie/prodazh-zemelno-dlyanki-desnyanskiy-r-n-troschina-IDXTptP.html</t>
  </si>
  <si>
    <t>Продається земельна ділянка 6 соток, Деснянський р-н(урочище Толока)м.Київ, вул.Національної Гвардії 31. Продаж від власника,без відсотків.Торг для реального покупця.Тільки дзвінки</t>
  </si>
  <si>
    <t>2512182013268906</t>
  </si>
  <si>
    <t>https://www.olx.ua/d/uk/obyavlenie/zemelna-dlyanka-pd-budvnitstvo-7-sotok-troschina-IDSn634.html</t>
  </si>
  <si>
    <t>Продаю земельну ділянку, розміром 7 соток, цільове призначення Для будівництва і обслуговування житлового будинку, господарських будівель і споруд на Троєщині. Кадастровий номер: 8000000000:62:202:0156. Фактична адреса - вул. Муромська 14А. Гугл карти - 50°31'20.8"N 30°34'17.1"EПо позначкам і надписам на фото ви можете зорієнтуватися по місцюзнаходження. Сусіди - активно будуються, до р. Десенка - 400 м.
По під'їзду - до самої вул. Муромська - дорога хороша (ф. 1 та ф.2), далі - відсипана до номеру 10го (орієнтовно), далі дороги не має. Ділянка - не відсипана та не венесена в натуру. Електро стовпи по вул встановлені, і паралельна вул - Ситняківська - електрофікована. Сусід по Ситняківський (див. фото акту, сусід ДГ) - забудований і жилий.
За більш детальними питаннями - телефонуйте. Всі документи на руках, при бажанні - можливий перегляд.</t>
  </si>
  <si>
    <t>2512182013264577</t>
  </si>
  <si>
    <t>https://www.olx.ua/d/uk/obyavlenie/prodazh-dlyanki-pechersk-zvrenetska-bez-IDYAXvD.html</t>
  </si>
  <si>
    <t>Ділянка 10 соток під індивідуальну житлову забудову вул.Правобережна 18 поруч Звіренецька, Бойчука всі комунікації вздовж ділянки Локація: 5 хвилин до Ботанічного саду 10 хвилин до м “Звіренецька” Тиха вулиця кадастровий 8000000000:82:131:0017</t>
  </si>
  <si>
    <t>2512182013260336</t>
  </si>
  <si>
    <t>https://www.olx.ua/d/uk/obyavlenie/dlyanka-9-sotok-osokorki-metro-slavutich-2-km-IDZcxMX.html</t>
  </si>
  <si>
    <t>Продаж ділянки на Осокорках — 9 соток біля Дніпра Пропонується чудова земельна ділянка площею 9 соток у мальовничому районі Осокорки, всього за 2 км від станції метро Славутич. На ділянці розташований садовий будинок площею 62 м² (усі документи оформлені). Підведено електроенергію — прямий договір з ДТЕК. Поруч — гарні сусіди та доглянуті ділянки. Відстань до Дніпра — лише 200 метрів. Відмінне місце для будівництва приватного будинку або дачі. Тиша, свіже повітря та зручне розташування — лише кілька хвилин до міста. Локація: Осокорки, Дарницький район, м. Київ Площа ділянки: 9 соток Площа будинку: 62 м² (садовий) Комунікації: електрика Відстань до Дніпра: 200 м До метро Славутич: 2 км</t>
  </si>
  <si>
    <t>2512182013268006</t>
  </si>
  <si>
    <t>https://www.olx.ua/d/uk/obyavlenie/prodam-10sot-komer-okruzhna-fasad-zhulyani-kolosa-171-z-2-h-pov-zhit-bud-IDVbF5V.html?isPreviewActive=0&amp;sliderIndex=13</t>
  </si>
  <si>
    <t>Продам фасадну,комерційну ділянку 10сот.(є варіант 20сот.) разом з 2-х поверховим житловим будинком(70м2) в 50м від Окружної дороги, Жуляни, вул.Колоса 171,виїзд(широкий, центральний) на окружну. Фасад 35м.Заїзд на ділянку з двох сторін. Є електроенергія, вода. Заведено 40квт. В домі всі зручності, опалення дровяний котел і електрика.Перший і другий поверх окремі.На другому поверсі є оглядовий майданчик.Каналізація септик Відеоспостереження.Поруч Епіцентр, Столичний ринок,Британський квартал, Метро. Є можливість докупити поруч ще 10сот.Що дає гарний варіант під будівництво Багатоповерхівки, Супермаркет (АТБ, ФОРА),Таунхауси,Магазин будівельних матеріалів,продаж авто-сельхоз техники,СТО,Готель і т.п. Власник.</t>
  </si>
  <si>
    <t>2512182013267706</t>
  </si>
  <si>
    <t>https://www.olx.ua/d/uk/obyavlenie/prodazh-zeml-solomyanskiy-rayon-vul-protasv-yar-fasad-IDZe0D5.html</t>
  </si>
  <si>
    <t>Київ. Солом`янський район, пров. Докучаєвський 16 (фасад на вул. Протасів Яр). Ділянка 10 соток. Кадастровий номер 8000000000:72:210:0005. Цільове призначення: для індивідуального житлового, гаражного та дачного будівництва. На ділянці старий будинок в аварійному стані. Є можливість збільшення ділянки на 0.03 га. Ціна 650 тис. дол.</t>
  </si>
  <si>
    <t>2512182013261643</t>
  </si>
  <si>
    <t>https://www.olx.ua/d/uk/obyavlenie/fasadnyy-uchastok-pr-lobanovskogo-fasad-41-7m-IDYw0HN.html</t>
  </si>
  <si>
    <t>Киев, Соломенский район, пр. Лобоновского. Участок 6.3 сотки, 3 фасада. Фасад пр. Лобановского 41,7м. 360 000$</t>
  </si>
  <si>
    <t>2512182013265255</t>
  </si>
  <si>
    <t>https://www.olx.ua/d/uk/obyavlenie/prodatsya-dlyanka-pd-taunhaus-budinok-dyupleks-IDYBvrN.html</t>
  </si>
  <si>
    <t>Продаж земельної ділянки під таунхаус, будинок або дюплекс вул. Смерекова, 40 Пропонується до продажу земельна ділянка площею 7.72 сотки із цільовим призначенням - під забудову житлового будинку. Сусіди активно забудовуються, поряд сучасні таунхауси New Smart 6. По цій локації будинки здаються від 1700$+ Асфальтована дорога</t>
  </si>
  <si>
    <t>2512182013260953</t>
  </si>
  <si>
    <t>https://www.olx.ua/d/uk/obyavlenie/bativa-gora-tsentr-prodazh-dlyanki-kiv-r-n-solomyanskiy-IDVOZ0T.html</t>
  </si>
  <si>
    <t>Батиєва Гора, Агітаторська, 9
Продаж ділянки 10 сот., для будівництва та обслуговування житлового будинку, господарських будівель і споруд. Частково збудована підпірна стінка. Електрика підведена. Зручний заїзд з боку Протасового Яру, ст.м. Олімпійська - 5 хвилин.</t>
  </si>
  <si>
    <t>2512182013264362</t>
  </si>
  <si>
    <t>https://www.olx.ua/d/uk/obyavlenie/dlyanka-6-37-sotok-pd-zhitloviy-budinok-kiv-prov-zyaslavskiy-3-IDZ9dNH.html</t>
  </si>
  <si>
    <t>Starting auction price</t>
  </si>
  <si>
    <t>м. Київ, р-н Солом'янський, пров. Ізяславський 3 (колишній Ватутіна) Земельна ділянка 6,37 соток, кадастровий номер: 8000000000:72:329:0036, цільове призначення: для будівництва і обслуговування житлового будинку, господарських будівель і споруд. Ділянка рівна, вільна від забудови. Продаж здійснються черз аукціон Електронний аукціон відбудеться 17 лист. 2025 р. Останній день реєстрації 16.11.25р. Початкова ціна 1 727 302 грн Детальніша інформація - bid.neb.org.ua/auction/view/LAE001-UA-20251015-32397</t>
  </si>
  <si>
    <t>2512182013269299</t>
  </si>
  <si>
    <t>https://www.olx.ua/d/uk/obyavlenie/prodazh-zemelno-dlyanki-fasad-prospekt-lobanovskogo-komertsya-bznes-IDZgmWB.html?isPreviewActive=0&amp;sliderIndex=2</t>
  </si>
  <si>
    <t>Фасад проспекту Лобановського в місці де завжди є затори, поруч із світлофором, де зупиняється потік машин. Шикарне місце. Довжина ділянки вздовж проспекту в районі 40м. Має правильну форму. ЗАЇЗД МОЖЛИВИЙ ЯК З ПРОСПЕКТУ, так і з сусідньої перпендикулярної вулиці згідно зроблених ОДР. Світло, вода, каналізація. Ідеальний варіант для бізнесу. З документами повний порядок.</t>
  </si>
  <si>
    <t>2512182013264285</t>
  </si>
  <si>
    <t>https://www.olx.ua/d/uk/obyavlenie/prodam-zemelnu-dlyanku-blya-metro-teremki-zhulyani-vul-gogolya-IDZeW8P.html</t>
  </si>
  <si>
    <t>Продається земельна ділянка 6 соток у Києві, Солом’янський район (Жуляни, біля авторинку), вул. Гоголя 14
Пропонуємо чудову земельну ділянку правильної прямокутної форми площею 6 соток під будівництво та обслуговування житлового будинку. Переваги ділянки: Вільна від забудови, готова до будівництва. Всі комунікації поруч: газ, вода, електрика. Чудова транспортна доступність: поруч метро Теремки, зупинки громадського транспорту, кільцева дорога. Спокійний, зелений район з розвиненою інфраструктурою: школи, дитячі садки, магазини, супермаркети. Категорія землі: 02.01 – для будівництва і обслуговування житлового будинку. Правильна форма ділянки — ідеальна для планування будинку та прибудинкової території Ціна: $62 000, без % комісії. Ця ділянка — відмінний вибір для тих, хто мріє про власний будинок у Києві, але в затишному та розвиненому районі.</t>
  </si>
  <si>
    <t>2512182013263268</t>
  </si>
  <si>
    <t>https://www.olx.ua/d/uk/obyavlenie/dlyanka-z-komertsynim-priznachennyam-kltseva-doroga-IDY76PX.html</t>
  </si>
  <si>
    <t>Фасадна Земельна Ділянка з комерційним призначенням у Києві, вздовж Кільцевої дороги. Дуже гарне місце!!! Ідеально під АЗС, сервіс, торгівлю, та іншу комерцію. Київ, Солом'янський р-н, Кільцева дорога. Площа: 50 соток. 24000$ - 1 сотка. = 1.2 млн.$ Приватна власність ! Цільове призначення 03.15 Для будівництва та обслуговування інших будівель громадської забудови. Поряд є всі необхідні комунікації. Ділянка прямокутної форми, розмір 60 х 105 метрів. Локація: https://maps.app.goo.gl/tV254CXVvygotMyf8</t>
  </si>
  <si>
    <t>2512182013261755</t>
  </si>
  <si>
    <t>https://www.olx.ua/d/uk/obyavlenie/prodatsya-zemelna-dlyanka-u-kiv-IDYTDvL.html</t>
  </si>
  <si>
    <t>Продається ділянка 10 соток у межах Києва, Совки, Соломʼянський район, провулок Запотівний, ділянка правильної прямокутної форми. На території знаходиться невеличка хатка. Є кадастровий номер 8000000000:72:414:0068, цільове призначення-для будівництва і обслуговування житлового будинку. Є електрика.</t>
  </si>
  <si>
    <t>2512182013268700</t>
  </si>
  <si>
    <t>https://www.olx.ua/d/uk/obyavlenie/prodazh-zemelno-dlyanki-0-05-ga-chervona-lnya-IDYuatA.html</t>
  </si>
  <si>
    <t>Продається приватна земельна ділянка у м. Київ, Солом’янський район, вул. Гайсинська, 2/11. Площа –5.35 соток.. Цільове призначення – для індивідуального житлового, гаражного і дачного будівництва. На території розташовані дві спортивні площадки (баскетбол, міні-футбол, волейбол), які перебувають в оренді – орендар школа, майданчики використовуються для занять спортом із дітьми. Ділянка має зручне розташування, під’їзди та документи в порядку. Можливий продаж із збереженням орендаря. Ціна: 290 000 USD, 58 000/сот</t>
  </si>
  <si>
    <t>2512182013269642</t>
  </si>
  <si>
    <t>https://www.olx.ua/d/uk/obyavlenie/prodazh-zemelna-dlyanka-vul-chernishevskogo-IDZiN76.html</t>
  </si>
  <si>
    <t>Продається земельна ділянка під житлову забудову у місті Київ, вул. Чернишевського 28. Характеристики: Площа: 8,7 соток Цільове призначення: для житлової забудови. Форма ділянки: зручна, прямокутна (див. план) Комунікації: вода, каналізація та електропостачання знаходяться поруч із ділянкою, є можливість підключення. За потреби можемо допомогти з оформленням підключень. На ділянці є будівлі під демонтаж або реконструкцію (гаражі, господарські приміщення)
Локація та інфраструктура: Ділянка знаходиться у спокійному приватному секторі. Поруч вулиці: Героїв Севастополя, Академіка Шліхтера, Донецька, Сім'ї Сосніних
У пішій доступності: АТБ-Маркет, Новус, Watsons, Парк «Вали» та парк «Поле чудес»</t>
  </si>
  <si>
    <t>2512182013265705</t>
  </si>
  <si>
    <t>https://www.olx.ua/d/uk/obyavlenie/mikoli-yunkerova-vul-105-puscha-voditsya-14-lnya-23-5-sot-pd-zabudovu-IDWqQav.html?isPreviewActive=0&amp;sliderIndex=11</t>
  </si>
  <si>
    <t>ЕКСКЛЮЗИВ! Фасадна, рівна, прямокутної форми ділянка під індивідуальне будівництво. Оболонський район, Пуща-Водиця, Миколи Юнкерова вул., 105, (14 лінія), 23.5 соток. Двостороння, в екологічно чистій зоні, усі комунікації міські (електрика на ділянці, можливість підключення до центрального опалювання), асфальтований підʼїзд. Поруч ліс, озеро, навкруги елітні забудови.</t>
  </si>
  <si>
    <t>2512182013268824</t>
  </si>
  <si>
    <t>https://www.olx.ua/d/uk/obyavlenie/prodazh-zemelno-dlyanki-chornobilets-10-sot-IDZhUjy.html?isPreviewActive=0&amp;sliderIndex=0</t>
  </si>
  <si>
    <t>Продається земельна ділянка 10 соток кадастрвий номер 8000000000:78:184:011 в дачному кооперативі Чорнобилець під житлову забудову в кооперативі Чорнобилець 2005. Дуже вдале розтошування ділянки, у межах Київа в Оболонськрму районі по вулиці Богатирський. Поруч річка Дніпро, озеро Міністерка, великий супермаркет Новус, Епіцентр. До станції метро Героїв Дніпра 7 хвилин.</t>
  </si>
  <si>
    <t>2512182013263396</t>
  </si>
  <si>
    <t>https://www.olx.ua/d/uk/obyavlenie/zemelna-dlyanka-10-sotok-vul-bogatirska-obolonskiy-rayon-IDYVs8U.html</t>
  </si>
  <si>
    <t>Земельна ділянка серед соснового масиву в межах Києва! Ідеальне місце для будівництва приватного будинку або інвестиційного проєкту! Продається земельна ділянка площею 10 соток, розташована на вулиці Богатирській в Оболонському районі столиці. Територія входить до кооперативу, призначена під житлову забудову, що відкриває широкі можливості для створення власного котеджу або перспективного інвестиційного об’єкта. Локація унікальна — навколо сосновий масив, поруч озеро Міністерка, ліс, а за 10 хвилин пішки — затока Дніпра. Це місце поєднує природну тишу з міською доступністю. У перспективі — будівництво елітного котеджного містечка на 80 домоволодінь, що значно підвищить статус району та інвестиційну привабливість. Неподалік — зупинка громадського транспорту, звідки за 7–10 хвилин можна дістатися до станцій метро «Героїв Дніпра» та «Мінська».</t>
  </si>
  <si>
    <t>2512182013264413</t>
  </si>
  <si>
    <t>https://dom.ria.com/uk/realty-prodaja-uchastok-pod-jiluyu-zastroyku-kiev-obolonskiy-lyubomirskaya-ulitsa-33132184.html</t>
  </si>
  <si>
    <t>Земельна ділянка в новому котеджному містечку на Оболоні. В проекті забудови всі міські комунікації. Газифікація, міська центральна каналізація, центральне водопостачання. Зручне розташування містечка по вул. Богатирській, 44, супермаркет NOVUS, ліс, озеро Міністерка, Дніпро. Можливо обмін на квартиру.</t>
  </si>
  <si>
    <t>2512182013268643</t>
  </si>
  <si>
    <t>https://dom.ria.com/uk/realty-prodaja-uchastok-pod-jiluyu-zastroyku-kiev-parnikovaya-ulitsa-33292859.html</t>
  </si>
  <si>
    <t>Пропонується до продажу чудова можливість придбати земельну ділянку загальною площею 20 соток (два кадастрових номери) разом з цегляним будинком площею 135 м² за адресою: м. Київ, Голосіївський район, вул. Парникова, 15. Переваги: Простора земельна ділянка: 20 соток для реалізації ваших ландшафтних ідей або будівництва. Комунікації: Будинок підключено до газу, електрики, центрального водопостачання та водовідведення. Цегляний будинок: Міцна основа для майбутнього ремонту та затишного проживання. Зручна локація: Голосіївський район зелений та розвинений район Києва. Транспортна доступність: Поруч знаходяться проспект Науки та Столичне шосе, що забезпечує зручне сполучення з іншими частинами міста. Особливість ділянки: Будинок розташований на схилі, що може відкривати гарні краєвиди та надавати унікальності ландшафту.</t>
  </si>
  <si>
    <t>2512182013269181</t>
  </si>
  <si>
    <t>https://dom.ria.com/uk/realty-prodaja-uchastok-pod-jiluyu-zastroyku-kiev-bykovnya-desnyanskiy-pereulok-33512045.html</t>
  </si>
  <si>
    <t>Продам Земельну ділянку 5 соток БИКІВНЯ. УСІ МІСЬКІ КОМУНІКАЦІЇ ПОРУЧ: Газ, Центральний водопровід, Електрика, Центральна каналізація. Підключення до міських комунікацій м. Київ. Заїзд прямий з провулку Радистів 1, до самої ділянки облаштована підїзна дорога. До земельної ділянки прокладені і підключенні електричні мережі (електроопори, кабель), на ділянці встановлено вузол обліку електроенергії потужність 15 кВт 3-и фази 400 В, повідомлення про приєднання до договору про постачання електричної енергії постачальником діючий. Розроблена, погоджена і отримана дозвільна документація на нове будівництво.Дозвільна документація:-проект будівництва-план М1:500-план М1:2000-генеральний план М1:500-МУО-повідомлення про початок виконання будівельних робіт за адресом: провулок 3- й Садовий, 5 у Деснянському районі м. Києва діюче.</t>
  </si>
  <si>
    <t>2512182013263233</t>
  </si>
  <si>
    <t>https://dom.ria.com/uk/realty-prodaja-uchastok-pod-jiluyu-zastroyku-kiev-akademgorodok-hristiny-sushko-ulitsa-33704004.html</t>
  </si>
  <si>
    <t>Продаж земельниої ділянки разом з будинком поруч з метро Академістечко. Вулиця Христини Сушко (колишня Павленка), 36. Земельна ділянка 0, 07 га для індивідуального житлового будівництва, ще 0, 03 га в користуванні. Будинок 80 м2 у житловом стані, потребує ремонту. Є усі міські комункаціі - газ, електрика вода, каналізація. Гарна інфраструктура і транспортна розвязка довкола.</t>
  </si>
  <si>
    <t>2512182013269786</t>
  </si>
  <si>
    <t>https://dom.ria.com/uk/realty-prodaja-uchastok-pod-jiluyu-zastroyku-kiev-podolskiy-gazoprovodnaya-ulitsa-33494023.html</t>
  </si>
  <si>
    <t>Беркоці-Газопровідна-Стеценко, м. Київ садове товариство "Суднобудівник". вул Газопровідна, 2, Подільського району. Власна земельна ділянка.
Основні характеристики:
* Розташування: Київ, садове товариство "Суднобудівник"
* Площа: 7 соток
* Кадастровий номер: XXXXXXXXX:91:500:0009
* Кутовий
* Комунікації : електрика - заведено на участок (договір з ДТЕК). Водопостачання- заведено на участок (централізоване постачання), можливість підключення до газу
* Інфраструктура: поруч ТРЦ Лавина, Новус.
* 200 м до громадського транспорту
* Зручний заїзд з вулиці Газопровідна.
* Широка вулиця біля ділянки, за потребою є можливість зробити два заїзди на ділянку.
Ділянка рівна, без дерев. Ідеально підходить для будівництва будинку чи дуплексу в зеленому районі Києва.</t>
  </si>
  <si>
    <t>2512182013262438</t>
  </si>
  <si>
    <t>https://dom.ria.com/uk/realty-prodaja-zemlya-kommercheskogo-naznacheniya-kiev-nikolskaya-slobodka-evgeniya-malanyuka-sagaydaka-ulitsa-33702756.html</t>
  </si>
  <si>
    <t>Продаж земельної ділянки комерційного призначення по вул. Євгена Маланюка 59-в у Дніпровському районі м. Київ. 12 сот. з двома асватованими під'їздами до ділянки. Цільве призначення ділянки - 03.07 для будівництва та обслуговування будівель торгівлі. Зручне розташування дозволяє доступ до ділянки з різних вулиць.</t>
  </si>
  <si>
    <t>2512182013267475</t>
  </si>
  <si>
    <t>https://dom.ria.com/uk/realty-prodaja-uchastok-pod-jiluyu-zastroyku-kiev-dvrz-marganetskaya-ulitsa-33633222.html</t>
  </si>
  <si>
    <t>Продаж земельної ділянки у місті Київ. Фасадна ділянка з будинком у розвиненому районі міста, поруч вся необхідна інфраструктура, зупинки громадського транспорту, школа, садочки, в 200м зупинка трамвая. Ділянка підходить під нову житлову забудову, або можливий ремонт старенького будиночку. У будинку є всі центральні комкнікації, газифікований. Асфальтований під'їзд до ділянки. Ділянка правильної форми.</t>
  </si>
  <si>
    <t>2512182013268476</t>
  </si>
  <si>
    <t>https://dom.ria.com/uk/realty-prodaja-zemlya-kommercheskogo-naznacheniya-kiev-sotsgorod-viskoznaya-ulitsa-33261179.html</t>
  </si>
  <si>
    <t>Об'єкт нерухомості, будівля 1005, 7м2, із земельною ділянкою 75, 54 сотки, придатний для будівництва, реконструкції та експлуатації будівлі з багатофункціональним призначенням, для організації виробничо-складського приміщення, організації логістичного центру, під СТО. Розташування об'єкту Київ, вул. Віскозна 6. Об'єкт розташований неподалік перетину жвавих транспортних автомагістралей. Найближча станція метро Чернігівська, . має два заїзда з двох боків, . Основний заїзд із вул. Віскозна. Земельна ділянка рівнинна, великий майданчик для паркування транспорту та його обслуговування. Призначення Для розміщення та експлуатації основних, підсобних і допоміжних будівель та споруд підприємств переробної, машинобудівної та іншої промисловості Категорія Землі промисловості, транспорту, звязку, енергетики, оборони та іншого призначення</t>
  </si>
  <si>
    <t>2512182013262471</t>
  </si>
  <si>
    <t>https://dom.ria.com/uk/realty-prodaja-uchastok-pod-jiluyu-zastroyku-kiev-pechersk-zverinetskiy-pereulok-33728476.html</t>
  </si>
  <si>
    <t>Шикарна ділянка в самому центрі Печерську м. Київ, р-н Печерський, пров. Звіринецький, 4 Ділянка для будівництва та обслуговування жилого будинку і господарських будівель 0.1 ГА по документах, але фактично 11.5 соток ! На земельній ділянці розташовані житловий будинок та господарські споруди під знос (з усіма документами , що дають можливість провести реконструкцію ). Одна з найелітніших локацій м.Київ поруч з Національним ботанічним садом імені М. М. Гришка НАН України. Ділянка має усі міські комунікації. Станція метро: "Видубичі" в 500 метрах. Дуже безпечне та статусне місце, поруч посольства та консульства з цілодобовою охороною . Ідеальне місце для будівництва комфортного житла, посольства, клубного будинку або будівлі іншого призначення. Гарна пропозиція для тих, хто цінує приватність, статус та інвестиційну перспективу.</t>
  </si>
  <si>
    <t>2512182013269543</t>
  </si>
  <si>
    <t>https://dom.ria.com/uk/realty-prodaja-uchastok-pod-jiluyu-zastroyku-kiev-chernaya-gora-tovarnaya-ulitsa-26073976.html</t>
  </si>
  <si>
    <t>Продаж ділянки з будинком, престижна локація у серці Печерська! Адреса: м. Київ, Печерський район, масив Чорна Гора, вул. Товарна, 53. Площа ділянки 10 соток. Кадастровий:XXXXXXXX (XXX) XXX-XX-XX 006.Призначення під житлову забудову. Форма ділянки: рівна, огороджена. Розміри: 40 м × 21 м. Зручний асфальтований підїзд. Будинок на ділянці: Площа 170 м². 2 поверхи, 5 кімнат. Матеріал цегла. Додатково: льох, гараж, сад. Комунікації: Електрика. Газ. Вода (централізована). Ідеальне місце для будівництва сучасного будинку. Всі комунікації заведені.</t>
  </si>
  <si>
    <t>2512182013265569</t>
  </si>
  <si>
    <t>https://dom.ria.com/uk/realty-prodaja-uchastok-pod-jiluyu-zastroyku-kiev-pecherskiy-zverinetskaya-ulitsa-33216035.html</t>
  </si>
  <si>
    <t>Продаж земельної ділянки правильної форми вул. Звіринецька, 69, Печерський район, Звіринець Земельна ділянка знаходиться за адресою: м. Київ, вул. Звіринецька, 69, Печерський район.Площа ділянки - 0.0800 га. Цільове призначення земельної ділянки: будівництво та обслуговування житлового будинку, господарських будівель і споруд (присадибна ділянка). Кадастровий номер земельної ділянки:XXXXXXXX (XXX) XXX-XX-XX 026 На земельній ділянці розміщений житловий будинок позначений на плані літерою «А», загальна площа 115 кв.м, житлова 57, 2 кв.м.</t>
  </si>
  <si>
    <t>2512182013266329</t>
  </si>
  <si>
    <t>https://dom.ria.com/uk/realty-prodaja-uchastok-pod-jiluyu-zastroyku-kiev-chernaya-gora-chernogorskaya-ulitsa-32760520.html</t>
  </si>
  <si>
    <t>Продажа земельної ділянки в Печерському районі (мікрорайон Чорна гора). Адреса - вулиця Чорногірська 34б. Загально площа ділянки - 10 соток. Є можливість провести центральні комцнікації. Електроенергію проведемо для нового власника. Цільове призначення - для будівництва і обслуговування житлового будинку, господарських будівель і споруд (присадибна ділянка). Кадастровий:XXXXXXXX (XXX) XXX-XX-XX 180</t>
  </si>
  <si>
    <t>2512182013262231</t>
  </si>
  <si>
    <t>https://dom.ria.com/uk/realty-prodaja-uchastok-pod-jiluyu-zastroyku-kiev-belichi-obuhovskaya-ulitsa-33759856.html</t>
  </si>
  <si>
    <t>До продажу пропонується фасадна земельна ділянка 10 соток у престижній частині Новобіличів вулиця Обухівська. Локація та ключові переваги: Виїзд прямо на Берестейський проспект , та М.Академмістечко швидко та зручно у будь-який напрямок Поруч Новобіличанський каскад озер зона відпочинку, рибалки та прогулянок. Позаду ділянки ліс, гарантовано нічого не буде забудовуватись. Біля ділянки розташований повністю заселений ЖК Озерний. Поряд зручний виїзд і на Ірпінську трасу Центральні комунікації проходять по межі ділянки (вода, каналізація, електрика)</t>
  </si>
  <si>
    <t>2512182013263218</t>
  </si>
  <si>
    <t>https://dom.ria.com/uk/realty-prodaja-zemlya-selskohozyaystvennogo-naznacheniya-kiev-svyatoshinskiy-33563344.html</t>
  </si>
  <si>
    <t>Продаж унікальної земельної ділянки в Києві, Академмістечко! Пропонується ділянка площею 9 соток . закрита території з чудовими краєвидами: з одного боку - мальовничий ліс з іншого - озеро Характеристики: правильна форма, ідеально підходить під будинок; підведено 33 кВт електроенергії; асфальтований підїзд; навколо тиша, свіже повітря та відчуття заміського відпочинку. Це Київ!</t>
  </si>
  <si>
    <t>2512182013263376</t>
  </si>
  <si>
    <t>https://dom.ria.com/uk/realty-prodaja-uchastok-pod-jiluyu-zastroyku-kiev-akademgorodok-ennyaya-lia-29807806.html</t>
  </si>
  <si>
    <t>Продається УНІКАЛЬНА ділянка у серці масиву Біличі Ваша мрія реальність!
Місце, де хочеться жити та інвестувати:
Ця ділянка знаходиться в центрі масиву Біличі місці, де поєднуються комфорт, природа та динаміка міста. До метро Академмістечко лише 15 хвилин пішки або 4 хвилини на авто. А всього за кілька кроків мальовничий ліс і озеро для ідеальних прогулянок</t>
  </si>
  <si>
    <t>2512182013265698</t>
  </si>
  <si>
    <t>https://dom.ria.com/uk/realty-prodaja-uchastok-pod-jiluyu-zastroyku-kiev-bykovnya-radistov-ulitsa-33752671.html</t>
  </si>
  <si>
    <t>Продам ділянку 10 соток в мальовничому місті в лісовому масиві в м.Київ по провулку Радистів 3А. Поруч всі міськи комунікації ( газ; вода; електрика; каналізація ) . До зупинки автобусу 4хв. пішки. До м. Лісова 3 зупинки(5-7 хвилин на автобусі) Ділянка углова, можливо зробити заїзд з двох боків. Поруч з ділянкою вже збудовані домівки, приємні ввічливі сусіди. Поруч дитячий садочок, школа. Від основної дороги друга лінія.</t>
  </si>
  <si>
    <t>2512182013263399</t>
  </si>
  <si>
    <t>Продам Земельну ділянку 5 соток БИКІВНЯ. УСІ МІСЬКІ КОМУНІКАЦІЇ ПОРУЧ: Газ, Центральний водопровід, Електрика, Центральна каналізація. Підключення до міських комунікацій м. Київ. Заїзд прямий з провулку Радистів 1, до самої ділянки облаштована підїзна дорога. До земельної ділянки прокладені і підключенні електричні мережі (електроопори, кабель), на ділянці встановлено вузол обліку електроенергії потужність 15 кВт 3-и фази 400 В, повідомлення про приєднання до договору про постачання електричної енергії постачальником діючий. Розроблена, погоджена і отримана дозвільна документація на нове будівництво.Дозвільна документація:-проект будівництва-план М1:500-план М1:2000-генеральний план М1:500-МУО-повідомлення про початок виконання будівельних робіт за адресом: провулок 3- й Садовий, 5 у Деснянському районі м. Києва діюче. Ця ділянка утворилася після розподілу земельної ділянки 0041 площею 0, 10га на дві земельні ділянки по 0, 05га за кадастровими номерами 0001 і 0002</t>
  </si>
  <si>
    <t>2512182013262797</t>
  </si>
  <si>
    <t>https://dom.ria.com/uk/realty-prodaja-uchastok-pod-jiluyu-zastroyku-kiev-bykovnya-radistov-ulitsa-33221509.html</t>
  </si>
  <si>
    <t>Продається земельна ділянка 10 соток, с. Биківня (Деснянський р-н, Київ) 8 хв на авто від ст. м. «Лісова» Тихий район із сосновим лісом, поряд вже зведені житлові будинки Площа: 10 соток Цільове призначення: під житлову забудову (ОСГ) Рельєф рівний, на ділянці високі сосни ідеально для приватного котеджу або дачі Комунікації поруч: електрика, газ по вулиці, центральний водогін на відстані 50 м</t>
  </si>
  <si>
    <t>2512182013261149</t>
  </si>
  <si>
    <t>https://dom.ria.com/uk/realty-prodaja-uchastok-pod-jiluyu-zastroyku-kiev-shevchenko-julyany-ulitsa-33757249.html</t>
  </si>
  <si>
    <t>Ділянка правильної прямокутної форми, На ділянці є будинок із підведеним газом та електропостачанням, гараж, господарські споруди (сарай, літня кухня, льох).</t>
  </si>
  <si>
    <t>2512182013264448</t>
  </si>
  <si>
    <t>LUN</t>
  </si>
  <si>
    <t>https://rieltor.ua/houses-sale/view/12258905/?utm_term=3847414314&amp;utm_medium=referral&amp;utm_source=lun.ua</t>
  </si>
  <si>
    <t>Прекрасний затишний та комфортний свій будинок в межах міста. Площа Шевченка В пішому доступі магазини ,школи ,лікарні, Парки , Ліси .. та все що потрібно .Будинок оснащений всім для зручності і комфортного життя Вся техніка побутова і не тільки електрогенератор ( кондиціонери ,холодильники газ плита , духовий шкаф , мікроволновка , посудомийна машина ,пральна машина ,телевізори ,морозильна камера ,газовий котел ,витяжки водоочищення повне із доп фільтрами мініралізатором , праска , фени , пилосмокт , кавоварки, іонізатор ..тощо )Тепла підлога , газове опалення ,електрогенератор дизельний,оптововолоконний інтернет , Е відеоспостереження із сервером , охорона , крита парковка ,спортзал , чердак Дорогі італійські меблі по всьому будинку</t>
  </si>
  <si>
    <t>2512182013261533</t>
  </si>
  <si>
    <t>https://lun.ua/realty/2806905636</t>
  </si>
  <si>
    <t>Продаж хорошого, просторого будинку в Києві, Подільський район, вул. Сошенка, площа Шевченко. Будинок побудований з якісних матеріалів, залізобетонні перекриття. Чудово підходить для комфортного проживання великої родини. Центральне водопостачання та каналізація. Автономне газове опалення, двоконтурний котел. Блискавкозахист. Гідроізоляція. Будинок розташований у гарному місці, поруч парк, магазини та супермаркети, ринок. Зручне транспортне розташування. Будинок під охороною. Ворота відчиняються автоматично. Гараж на 2 автомобіля, 2 машини ще стають у дворі. Велике підвальне приміщення. Є сад в якому ростуть прищепи, сакура, магнолія. Будинок та двір під охоронною системою, відеонагляд. Київ, вул. Сошенка, 34а;</t>
  </si>
  <si>
    <t>2512182013261811</t>
  </si>
  <si>
    <t>https://www.olx.ua/d/uk/obyavlenie/prodazh-prostorogo-budinku-386m2-podl-vtryan-gori-IDZevaT.html</t>
  </si>
  <si>
    <t>Продаж будинка на Подолі, Вітряні гори (вул. Кобзарська, 57-Ж, район пл. Тараса Шевченка) Просторий цегляний будинок площею 440 м², збудований у 2010 році, розташований серед приватної забудови — тихо, без висоток поруч, поруч парк «Кинь-Ґрусть» з озерами та дитячими зонами. Ділянка — 4 сотки, приватизована. Є гараж, накрите місце для авто, альтанка, барбекю, доглянутий газон. Будинок енергоефективний, утеплений (100 мм пінопласт), з якісними вікнами Rehau та покрівлею Onduline. 4 рівні: Цоколь — кальянна, кімната для нарад, котельня, підсобні приміщення. 1-й поверх — кухня, вітальня, зимовий сад, санвузол, гараж. 2-й поверх — дитяча, гостьові кімнати, велика тераса. 3-й поверх — господарська спальня, кабінет, ванна з сауною, гардероб, балкон. Опалення: котел Buderus (44 кВт), дистанційне керування, Kermi радіатори, кондиціонери Panasonic (з функцією обігріву). Гаряча вода: бойлер 200 л, сонячні панелі. Резервна лінія електроживлення для котельні, освітлення, холодильника тощо. Міська вода і каналізація, автоматичний полив. Сигналізація, домофон з відео- та фотофіксацією, автоматичні ворота. 440 м² продуманого простору — для сім’ї, спокою та натхнення</t>
  </si>
  <si>
    <t>2512182013265883</t>
  </si>
  <si>
    <t>https://www.olx.ua/d/uk/obyavlenie/prodazh-budinku-prov-kuzmi-skryabna-7-baydi-vishnevetskogo-IDZd9Ay.html</t>
  </si>
  <si>
    <t>Продам будинок за адресою провулок Кузьми Скрябіна,7, в Подільскому районі м.Києва. Чудова спокійна локація за 15 хвилин до центру та одночасно з розвиненою інфраструктурою столиці. Будинок має 2 входи. Загальна площа 92,9 м. кв. Будинок в гарному стані . Розташований на огороженій зручній прямокутній ділянці 3,72сотки. Заведено комунікації в будинок: газ, міський водопровід, каналізація, електрика.</t>
  </si>
  <si>
    <t>https://lun.ua/realty/3219899053</t>
  </si>
  <si>
    <t>Пропонується на продаж добротний, двоповерховий, цегляний будинок 5 кімнат у жилому стані, склопакети, кахель, ламінат, гараж, погріб, всі міські комунікації (вода, світло, газ, каналізація), асфальтований під"їзд. Ділянка рівна, прямокутна, 6 соток, плодові дерева, поруч ліс, є можливість збільшення ділянки до 12 соток, чудове транспорне сполучення</t>
  </si>
  <si>
    <t>2512182013269528</t>
  </si>
  <si>
    <t>https://dom.ria.com/uk/realty-prodaja-taunhaus-kiev-poselok-shevchenko-vyshgorodskaya-ulitsa-33240732.html</t>
  </si>
  <si>
    <t>Таунхаус з фасадом, гаражем і підвалом ідеально для життя чи бізнесу м. Київ, вул. Вишгородська, Подільський район (Виноградар) Площа 207 м² (житлова 128 м²) Кількість кімнат 4 Поверховість 2 рівні + мансарда + підвал Рік ремонту 2021 Фасадний вхід, гараж, великий підвал-бомбосховище Повністю мебльований та укомплектований технікою Просторий сучасний таунхаус у зручному районі з продуманим плануванням чудово підійде для комфортного життя або під офіс/студію/бізнес. Планування: 1 поверх: кухня-студія, вітальня з електрокаміном, кабінет, санвузол з душем, простора гардеробна 2 поверх: 2 спальні, друга гардеробна, велика засклена лоджія, ванна кімната з джакузі Мансарда велике приміщення під ремонт Підвал / бомбосховище 60 м² Укомплектування: Вся необхідна побутова техніка та меблі Тепла підлога (електрична та водяна), шумоізоляційні вікна Газовий котел, 3 фази (380В), септик + дренажна система Відеоспостереження, сигналізація Ajax Локація: Поруч парк і зелена зона ідеально для прогулянок До центру міста 1520 хвилин Розвинена інфраструктура: метро, зупинки транспорту, ТРЦ Retroville, школи, дитсадки, магазини Підійде як для затишного життя, так і для комерційного використання офісу, клініки, салону, шоуруму тощо.</t>
  </si>
  <si>
    <t>2512182013267948</t>
  </si>
  <si>
    <t>https://rieltor.ua/houses-sale/view/11949486/?utm_term=3188631504&amp;utm_medium=referral&amp;utm_source=lun.ua</t>
  </si>
  <si>
    <t>Київ, Замковецький провулок 7, площа: 73,5 кв.м, 4 кімнати; Продаж пів будинку (під реконструкцію). Земельна діілянка: для індивідуального житлового будівництва та обслуговування житлового будинку, господарських будівель і споруд. Кадастровий номер: 8000000000:85:219:0169 Продаж 6 соток + в подарунок 4 сотки. Всі комунікації централізовані. Прямі договори. Ціна: 135 000 USD</t>
  </si>
  <si>
    <t>2512182013263487</t>
  </si>
  <si>
    <t>https://dom.ria.com/uk/realty-prodaja-dom-kiev-dneprovskiy-aovozny-peelok-16363319.html</t>
  </si>
  <si>
    <t>Будинок на два входи, дві кухні, два санвузли, два газових котла, центральна каналізація, центральне водопостачання, будинок утеплений</t>
  </si>
  <si>
    <t>2512182013268414</t>
  </si>
  <si>
    <t>https://dom.ria.com/uk/realty-prodaja-dom-kiev-dvrz-marganetskaya-ulitsa-33554283.html</t>
  </si>
  <si>
    <t>Будинок у місті Київ з великою фасадною ділянкою у розвиненому районі м Київ. Поруч вся необхідна інфраструктура, асфальтована дорога, магазин, лікарня, аптека, зупинка трамвая, маршруток.
Будинок потребує капітального ремонту, або нової забудови на досить великій ділянці. перспективна ділянка в розвиненому районі міста з усією інфраструктурою. На ділянці фруктові дерева, є погріб, сарай.</t>
  </si>
  <si>
    <t>2512182013260683</t>
  </si>
  <si>
    <t>https://dom.ria.com/uk/realty-prodaja-taunhaus-kiev-rusanovskie-sady-4-ya-sadovaya-ulitsa-33401140.html</t>
  </si>
  <si>
    <t>4 кімнати  ·  2 поверхи
Загальна площа 146.7 м²  ·  житлова 64.3 м²  ·  кухня 4.7 м² Ділянка 147 соток Стіни з газобетону Побудовано 2011-2015</t>
  </si>
  <si>
    <t>2512182013263582</t>
  </si>
  <si>
    <t>https://dom.ria.com/uk/realty-prodaja-dom-kiev-dneprovskiy-99-ya-sadovaya-ulitsa-32165452.html</t>
  </si>
  <si>
    <t>Пропонується на продаж новий, сучасний будинок на Русанівських Садах, м.Київ. Це сучасний одноповерховий будинок, який поєднує в собі комфорт та затишок. Загальна площа будинку складає 150 кв.м., земельна ділянка 6 соток. Будинок збудований та олаштований з увагою до кожної деталі. У будинку розташовані дві окремі спальні, два санвузла, простора кухня-вітальня та тереса 40 кв.м. Вітальня має камін.Одна спальня має свій санвузол з душовою кабіною. Комунікації: свердловина; електрика; септик з переливом. Технічні характеристики: бойлер; електокотел; тепла водяна підлога по всьому будинкуі; сигналізація; інтернет (оптоволокно); генератор; автополив газону, дренажна система, система зрошення. Автоматичні ворота у двір, навіс на два автомобіля. Будинок розташований на відстані 3 км. від станції метро Лівобережна, що забезпечує зручний доступ до любої локації міста.</t>
  </si>
  <si>
    <t>2512182013261843</t>
  </si>
  <si>
    <t>https://dom.ria.com/uk/realty-prodaja-dom-kiev-rusanovskie-sady-27649953.html</t>
  </si>
  <si>
    <t>Продаж 2 поверхового будинку, Київ, Дніпровський р-н, Русанівські Сади, вул. Прибережна.
Будинок з ремонтом. Стіни газоблок, утеплення мін. вата. Монолітний стрічковий фундамент. Керамічна черепиця. Загальна площа 139 м²: 1 поверх: кухня-вітальня з дров "яним каміном, вихід на терасу, гостьова кімната, сан.вузол, котельня. 2 поверх: три окремі спальні, сан.вузол, вихід на горище. Максимальне технічне забезпечення будинку: Електричний котел, Тепла підлога, болер. Кондиціонер, сигналізація Ajax, інтернет оптоволокно. Світло 15кВт, 3 фази. Вода: свердловина, 50 метрів, система фільтрації. Каналізація: септик, 2 колодязя. Упорядкована ділянка 6 соток: Фасадне освітлення, зелений газон з авто поливом. Фруктові дерева, вимощені доріжки, паркування для двох авто. Поруч розвинена інфраструктура. Будинок в місті!!! Неподалік з/ст Троєщина, зупинка трамваю.</t>
  </si>
  <si>
    <t>2512182013267043</t>
  </si>
  <si>
    <t>https://dom.ria.com/uk/realty-prodaja-dom-kiev-12aya-adovaya-lia-33326946.html</t>
  </si>
  <si>
    <t>Русанівські Сади, будинок 114м2, ділянка 6 сот, ремонт, документи м. Лівобережна, Русанівські Сади, 3-я ділянка від центральної. Будинок 114 кв.м з якісним ремонтом у престижному масиві Києва Дніпровського району біля води. Поєднання природи та інфраструктури міста. На 1-му поверсі розташовані: вітальня, хол, кухня, житлова кімната, санвузол, котельня. Підлога у кахелі. Якісна столярка, шпалери на стінах, імпортна сантехніка. Кайфу додає камінна топка, яка з приємністю надасть тепла.</t>
  </si>
  <si>
    <t>2512182013263946</t>
  </si>
  <si>
    <t>https://dom.ria.com/uk/realty-prodaja-dom-kiev-voskresnyie-sadyi-201ya-adovaya-lia-33178007.html</t>
  </si>
  <si>
    <t>Характеристика будівлі: стан будинку: без оздоблювальних робіт  •  перекриття: залізобетонне  •  дах: металочерепиця Характеристика приміщення: висота стелі, м: 2.7  •  утеплення: зовнішнє Оздоблення стелі: без обробки Підлога (покриття): без обробки Підігрів води: немає Опалення: без опалення Приміщення: гараж: немає  •  2 санвузла Меблі: немає Обладнання  •  меблі  •  зручності: електрика Унікальні переваги: свердловина</t>
  </si>
  <si>
    <t>2512182013264639</t>
  </si>
  <si>
    <t>https://dom.ria.com/uk/realty-prodaja-dom-kiev-obolon-bogakaya-lia-26052389.html</t>
  </si>
  <si>
    <t>Пропонується до продажу сучасний новозбудований будинок на Оболоні Будинок зведений у престижному та тихому місці Чорнобилець, Оболонь, всього за 150 метрів від Дніпра. Зручне розташування поєднує комфорт заміського життя та близькість до міської інфраструктури. Будівництво велося з преміальних матеріалів для власного проживання. Виконані всі «брудні» ремонтні роботи: розведені електричні та сантехнічні комунікації; встановлений та готовий до роботи пелетний котел Opop; на 1 та 3 поверхах підлога з керамічної плитки CeramaMarazzi та Paradyz. Сантехніка Grohe закуплена. У будинку 4 санвузли (два з ваннами), оздоблені керамогранітом CeramaMarazzi та Meizu. Ділянка сонячна, прямокутної форми. Скважина 98 м; Септик 42 м³; Заведено 30 кВт електроенергії; Отримані техумови на підключення газопостачання. Цей будинок стане ідеальним вибором для тих, хто цінує якість, комфорт і гарне місце розташування.</t>
  </si>
  <si>
    <t>2512182013267921</t>
  </si>
  <si>
    <t>https://dom.ria.com/uk/realty-prodaja-dom-kiev-obolon-bogatyrskaya-ulitsa-33158599.html</t>
  </si>
  <si>
    <t>Уявіть: ранок, аромат кави, сонце крізь скляний атріум, легкий вітерець на затишній веранді з каміном Це не мрія. Це ваш майбутній дім у котеджному містечку КДТ «Чернобилець», біля чистого озера Міністерка. 432 м² простору, де кожна кімната дихає комфортом. 5 стильних спалень, включаючи батьківську з власним санвузлом і гардеробною. 3 санвузли, 2 гардеробні, продумане планування. Преміум-кухня для гурманів все для кулінарного натхнення: індукційна плита, кавоварка, винний холодильник, дві раковини з подрібнювачами, залишається вся вбудована техніка (крім настінних телевізорів). Особлива атмосфера: Два камені для тепла в домі та душі Зимовий сад у заскленому атриумі ідеальний куточок спокою Веранда з тентом і шторами затишок цілий рік Гараж на два авто Ідеальні інженерні рішення: два котли, два бойлери, система очищення води, пральна та сушильна машини І ще альтанка з власним санвузлом на ділянці 15 соток.</t>
  </si>
  <si>
    <t>2512182013268167</t>
  </si>
  <si>
    <t>https://dom.ria.com/uk/realty-prodaja-dom-kiev-nijnie-sady-prodolnaya-1-ya-ulitsa-33769683.html</t>
  </si>
  <si>
    <t>Терміновий продаж 3-поверхового будинку з сауною та басейном біля Києва (Оболонський район)! Площа будинку: 267 м² Ділянка 4 соток Поверховість: 2 поверхи + цокольний поверх Кількість кімнат: 6 Санвузли: 3 (джакузі та душова кабіна). Гараж на 2 автівки. Літня альтанка та зона барбекю. Адреса: м. Київ, Оболонський район, вул. Продольна 1, буд. 69 Заїзд із двох сторін: власний з вул. Богатирська. через кооператив по вул. Продольна-1 (будинок 69). На цокольному поверсі є сауна з санвузлом, та басейн, кімната для відпочинку. На першому поверсі вітальня з каміном, італійська кухня, 3 спальні та санвузол з ванною. На другому 3 кімнати, велика вітальна просторий санвузол та балкон та територію біля будинку. Інфраструктура: Автобусна зупинка просто біля будинку. 5-10 хв до метро Героїв Дніпра, Мінська, Петрівка. Поруч супермаркет Novus, лікарня, заправка ОККО, озеро Міністерське та ліс.</t>
  </si>
  <si>
    <t>2512182013260958</t>
  </si>
  <si>
    <t>https://dom.ria.com/uk/realty-prodaja-dom-kiev-darnitskiy-73-ya-sadovaya-a-ulitsa-33714422.html</t>
  </si>
  <si>
    <t>Пропонується на продаж гарний будинок з газом, розташований близько біля озера Мартишів, та 1, 5 кілометра від ст.м. Славутич. В будинку на першому поверсі дві вхідні групи: центральна та додаткова, передпокій, кухня - вітальня, с/в. На другому поверсі три спальні, кабінет і с/в. Є деякі меблі, кондиціонер. Участок викладений тротуарною плиткою, є навіс під авто, автоматичні ворота, скважина, септик; Ціна: 183 000 USD</t>
  </si>
  <si>
    <t>2512182013268547</t>
  </si>
  <si>
    <t>https://dom.ria.com/uk/realty-prodaja-dom-kiev-darnitskiy-sadovaya-ulitsa-32213437.html</t>
  </si>
  <si>
    <t>Продається трьохповерховий будинок, повністю готовий для заселення. Осокорки, Дарницький район. вул. Садова 158. Площа будинку 260 м2, 3 поверхи. Ділянка 5.0 соток. Кухня- вітальня 30 кв.м Три спальны на другому поверсі. На третьому поверсі велика кімната 30 кв.м обшита екологічною дерев'яною вагонкою, можна зробити спортзал або кіно зал. 2.5 кілометра від метро осокорки 25 хвилин пішки до метро Тихе місце, 100 метрів до озера з пляжем. У пішій доступності школа, ліцей, кілька магазинів, нова пошта Засклена тераса - 18 кв.м з розсувними вікнами для відпочинку, мангал. Посаджено богато дерев, квітів. Автоматичний полив Свердловина 80 метрів із питною водою В будинку є 2 каміна, бобмосховище У будинку газове, електричне та твердопаливне опалення, тепла підлога в санвузлах , кухні - вітальні та передпокої. Є кондиціонування та сигналізація .Гараж, гостьовий критий паркінг на дві машини Цегляний будинок, утеплений мінватою, окремий вхід в бойлерну, котел, бойлер, фільтри води, 20 кВт електрики (три фази)</t>
  </si>
  <si>
    <t>2512182013267888</t>
  </si>
  <si>
    <t>https://dom.ria.com/uk/realty-prodaja-dom-kiev-berkovets-27650061.html</t>
  </si>
  <si>
    <t>Автономний будинок! Є генератор, опалення елекричне, свердловина, септик, сауна з топкою, яка може опалювати будинок. В продажу 3 поверховий будинок на Берковцях. Загальна площа основного будинку: 109, 2 м2. В будинку три поверхи: цокольний, перший, другий. Цокольний поверх (має два входи): ванна, окремий санвузол, сауна, зона відпочинку. На першому: кухня-вітальня, окрема кімната. Другий поверх: робоча зона, спальна кімната. На територіі є гостьовий будинок 58 м2, без ремонту, гараж на один автомобіль, перед будинком у дворі можна припаркувати ще один автомобіль. Опалення електричне, є можливість підєднатися до газу, каналізація септик, свердловина. Земельна ділянка 5, 99 сот. гарно оздоблена туями, декоративними кущами, квітами, деревами Поряд знаходиться пгт Коцюбинське, ТЦ Лавіна, Ашан, Епіцентр, до метро Академмістечко 7 хв на автомобілі, на громадському транспорті 15 хв</t>
  </si>
  <si>
    <t>2512182013265059</t>
  </si>
  <si>
    <t>https://dom.ria.com/uk/realty-prodaja-dupleks-kiev-berkovets-sadovaya-ulitsa-33484124.html</t>
  </si>
  <si>
    <t>дуплекс з дизайнерським ремонтом в топовій локаціі 1км від ЛавіниМол 110м2+ тераса Земельна ділянка 3 сотки Планування: Перший поверх: - вхідна група з гардеробною кімнатою та підвалом(сховище) - кухня-вітальня - кабінет - гостьовий санвузол Другий поверх - санвузол - дитяча спальня - основна спальня з виходом на терасу Опалення - Двухконтурний газовий котел Вода - своя свердловина та міська Будинок розташований в місті та має дуже зручну транспортну розв'язку. До метро Академмістечко 3 км. Поряд багато магазинів, ресторанів, кафе, ТЦ, МакДональдс. Також є Велика зелена ділянка лісу для занять спортом, катання на велосипеді, бігу. В пішій доступності сучасні школи та садочки.</t>
  </si>
  <si>
    <t>2512182013268882</t>
  </si>
  <si>
    <t>https://dom.ria.com/uk/realty-prodaja-dom-kiev-berkovets-stetsenko-ulitsa-33370946.html</t>
  </si>
  <si>
    <t>Характеристика будівлі: стан будинку: задовільний  •  перекриття: дерев'яне  •  дах: шифер Характеристика приміщення: висота стелі, м: 2.5  •  утеплення: внутрішнє Оздоблення стелі: дерев'яна вагонка  •  фарбування Підлога (покриття): керамічна плитка  •  ламінат  •  ковролін  •  дощата підлога Внутрішнє оздоблення: шпалери  •  дерево Опалення: твердопаливний котел  •  електричне Приміщення: кількість спалень: 4  •  гараж: немає  •  баня / сауна  •  суміжний санвузол  •  2 санвузла</t>
  </si>
  <si>
    <t>2512182013265068</t>
  </si>
  <si>
    <t>https://dom.ria.com/uk/realty-prodaja-dom-kiev-berkovets-stetsenko-ulitsa-32434980.html</t>
  </si>
  <si>
    <t>Добротний будинок в Подільському р-ні, вул. Стеценка, 80. Земельна ділянка 2, 8 сотки. Є вольєр для собаки за будинком, територія для відпочинку, газон, плодові молоді дерева, тераса з міні-виноградником. Паркан побудований з буту. Будували для себе, якісно. Стіни зроблені з червоної цегли в півтори цеглини 400 мм, утеплені мінеральною ватою 100 мм. Криша вкрита бітумною черепицею. Перекриття на кожному поверсі з монолітних плит. Висота стелі 3, 2 метри. Сходи з металевого каркасуобшиті ясенем. Всі міжкімнатні двері робили на замовлення з ясеню. Тепла підлога у всіх санвузлах, в бані та біля чаші а також по всьому першому поверсі . В цокольному поверсі розміщена сауна, котельня, пральня, дві кімнати відпочинку, підсобні приміщення; на першому поверсі- велика кухня з гостьовою кімнатою, вітальня; на другому поверсі - три спальні, два санвузли, гардеробна; мансарда - дві спальні, санвузол, кладова. Каналізація - дві ями з переливом 16 кубів. Скважина 34 метри. Три види оплення- газовий котел, електричний і твердопаливний. Додатково є камін, який обігріває весь будинок. Електроенергії заведено 15 квт. Є великий гараж 20 метрів</t>
  </si>
  <si>
    <t>2512182013269055</t>
  </si>
  <si>
    <t>https://dom.ria.com/uk/realty-prodaja-dom-kiev-podolskiy-stetsenko-ulitsa-33281211.html</t>
  </si>
  <si>
    <t>Продається чудовий двоповерховий будинок, який стане ідеальним вибором для сімейного життя!Будинок площею 118 м², житлова 90 м², продуманий до дрібниць для комфортного проживання.Планування:Перший поверх: простора кухня, затишна спальня, велика зала, ванна кімната та санвузол.Другий поверх: велика гардеробна, світла спальня та простора кімната, яка ідеально підійде для дитячої.Будинок покриття даху якісна металочерепиця. Опалення твердопаливний котел, також є електричний котел та генератор, який забезпечує автономність у разі відключення світла. На стінах шпалери, що додають інтерєру затишку.Територія:Ділянка площею 6 соток облаштована так, що задовольнить всі ваші потреби:Літня кухня для кулінарних експериментів на свіжому повітрі.Вольєр для улюбленців.Накриття для зберігання дров.Новий гараж із червоної цегли з надійним накриттям.Зручні нові ворота для вїзду.На території є септик із переливом та колодязь із водою глибиною 8-10 метрів, що забезпечує автономне водопостачання.Локація:Будинок розташований на вулиці 9-а Лінія це спокійна і затишна місцевість, яка водночас має зручний доступ до інфраструктури.Цей будинок створений для тих, хто цінує комфорт, функціональність і затишок!</t>
  </si>
  <si>
    <t>2512182013262946</t>
  </si>
  <si>
    <t>https://dom.ria.com/uk/realty-prodaja-dom-kiev-berkovets-sineozernaya-ulitsa-32917928.html</t>
  </si>
  <si>
    <t>Пропонується на продаж будинок в Київі, між вулицями Стеценка та Синьоозерна. В будинку 2 поверхі, загальна площа будинку 170 метрів, 5 кімнат. Площа всіх споруд (літня кухня, гараж та сам будинок) 220 метрів. Земельна ділянка 6 соток. Будинок побудован в 2015 році. Стіни газоблок, пінопласт 5см, короїд. Дах: мін вата, плівка, осб та мягка черепиця. Будинок росташований 300 м від лісу. Є свій сад, літня кухня, гараж, дві свердловини 35 м з погружним насосом Водолій, 2 септіка по 7 м3 з перелівом, 2 входа на газ, електрика 7квт, камін, генератор. У пішій доступності Ашан, Епіцентр, Лавіна, Ардіс, Новус, Нова пошта, Укрпошта.</t>
  </si>
  <si>
    <t>2512182013261972</t>
  </si>
  <si>
    <t>https://dom.ria.com/uk/realty-prodaja-dom-kiev-svyatoshinskiy-dmitriya-yavornitskogo-kollontay-ulitsa-33324478.html</t>
  </si>
  <si>
    <t>Продаж будинку біля води у Києві, вул. Яворницького, 10 соток Цей будинок для тих, хто шукає не просто житло, а затишну гавань для сімї, де поєднується комфорт, природа та зручність міської інфраструктури. Будинок на першій лінії біля природного озера ідеальне місце для життя у гармонії з природою. Лише 1, 5 км до метро Академмістечко! Заповідна зона, тиша, свіже повітря і при цьому повна інфраструктура поруч: супермаркети, ресторани, піцерія, магазини, школа, дитячий садок. Переваги обєкта: Площа будинку: 200 м² + цокольний рівень 200 м² Житлова площа: 63 м², є можливість добудови поверху Ділянка: 10 соток Стан: житловий, готовий до фінального оздоблення Панорамні краєвиди на озеро, екологічно чистий район Технічні характеристики: Стіни: керамоблок Wienerberger Potherm 44 Покрівля: безшумна металочерепиця METROBOND Вікна: REHAU 70 (металопластик, 'золотий дуб', Німеччина) Гідроізоляція: Реммерс Бауштофтехнік Фасад: штукатурка шуба Окрема електролінія: 3 фази, 380В, 20 кВт Водопостачання: 2 свердловини (15м і 45м), септик</t>
  </si>
  <si>
    <t>2512182013268873</t>
  </si>
  <si>
    <t>https://dom.ria.com/uk/realty-prodaja-dom-kiev-svyatoshinskiy-pereulok-33614270.html</t>
  </si>
  <si>
    <t>На продаж пропонується просторий, доглянутий будинок загальною площею 200 м², з ділянкою 3 сотки, розташований у тихому й зеленому куточку Святошинського району, за Шпалерним ринком. Будинок має якісний ремонт 2010 року, і його особлива перевага після ремонту ніхто не проживав. Планування: Перший поверх: простора кухня; окрема вітальня; санвузол з ванною; котельня. Другий поверх: три ізольовані спальні, одна зі спален має гардеробну прохідна кімната (може бути ігровою, чи зоною відпочинку); кабінет. На території передбачено двоповерховий гараж, який забезпечує зручне зберігання автомобіля та додатковий простір для господарських потреб. Комунікації: централізоване водопостачання, каналізація, заведено газ; встановлено електрокотел; проведено газ у будинок. Будинок повністю готовий до проживання є все необхідне для комфортного життя вашої родини. Інфраструктура: Поруч мальовничий парк відпочинку "Совки", школа з басейном, дитячий садок, зручна транспортна розвязка. До станцій метро Житомирська або Академмістечко лише 10 хвилин їзди.</t>
  </si>
  <si>
    <t>2512182013266735</t>
  </si>
  <si>
    <t>https://dom.ria.com/uk/realty-prodaja-dom-kiev-borschagovka-ivana-trusha-prishvina-ulitsa-31383412.html</t>
  </si>
  <si>
    <t>Приватний будинок в районі Південної Борщагівки. Поруч знаходяться школи, дитячі садки, торговий центр «Cube», гіпермаркет «Ашан» тощо. Продається разом з двома вмісткими гаражами, які можна використовувати для стоянки авто та під склад. Навпроти входу в будинок є невеликий затишний садок. На першому поверху кухня, сан. вузол та велика кімната, яка використовувалася під роботи (можна переробити під житлову). На другому поверху три житлові кімнати. На всю площу будинку є горище, яке, зробивши ремонт, можна обладнати під зону відпочинку. Встановлений електрокотел. При відсутності світла можна опалювати дровами або вугіллям.</t>
  </si>
  <si>
    <t>2512182013261130</t>
  </si>
  <si>
    <t>https://dom.ria.com/uk/realty-prodaja-dom-kiev-julyany-uchitelskaya-julyany-ulitsa-33536031.html</t>
  </si>
  <si>
    <t>Жуляни. Вул. Вчительська. Поряд зупинка транспорту. Цегляний будинок 77 кв. кухня та 3 кімнати, 10 соток земли (по факту 13) Господарська споруда, літня кухня-альтанка, гараж на 2 поверхи з опаленням, надійній підвал. Бойлер водяний, газовий котел, твердопаливний котел. Централізоване водопостачання, газ. Доглянута територія, будинок у житловому стані. Плодоносні дерева, малина та др. 5 хв зупинка транспорту, 10 хв метро Васильківська транспортом, 15 хв пішки метро Іподром. 135 тис у ее</t>
  </si>
  <si>
    <t>2512182013266765</t>
  </si>
  <si>
    <t>https://dom.ria.com/uk/realty-prodaja-dom-kiev-julyany-sovskaya-julyany-ulitsa-33550110.html</t>
  </si>
  <si>
    <t>Жуляни, вул. Совська - будинок 64, 4 м² на 24 сотках із садом. Рівна, огороджена ділянка; окремо оформлено 10 соток під будинком. Комунікації: підключена електроенергія; криниця; по вулиці - центральний водопровід і газ (швидке підключення за потреби). На ділянці - плодоносний фруктовий сад; достатньо місця для зони відпочинку чи додаткової забудови. Тихе, затишне місце серед приватної забудови. Підійде для сімї або під розвиток.</t>
  </si>
  <si>
    <t>2512182013262960</t>
  </si>
  <si>
    <t>https://dom.ria.com/uk/realty-prodaja-dom-kiev-sovki-fedkovicha-ulitsa-33282081.html</t>
  </si>
  <si>
    <t>До Вашоі уваги пропонується продаж цегляного будинку в Києві, в центрі міста.
Ділянка - 2 сотки.
До метро Васильківська - 10 хв. пішки. Будинок після ремонту. Житловий стан. 3 кімнати, перший поверх, кухня, сан. вузол роздільний , ванна кімната. Мансарда - 2кімнати. В будинку - центральна каналізація, вода, індивідуальний газ. Газова колонка та котел. Газова плита. В будинку - пральна машина, холодильник, мікрохвильова піч. Високі стелі, заднє подвір'я. Дуже добре розвинена інфраструктура. В пішій доступності - зупинки транспорту (маршрутки, автобуси, метро), школа, садок, магазини. Дуже тихо, добрі сусіди.</t>
  </si>
  <si>
    <t>2512182013262386</t>
  </si>
  <si>
    <t>https://dom.ria.com/uk/realty-prodaja-dom-kiev-shirma-vladimira-samoylenko-holmogorskaya-ulitsa-33541316.html</t>
  </si>
  <si>
    <t>Продам просторий будинок в тихому затишному місці на Совках на вул. Самійленка (Холмогорська). Площа будинку 147 м2, складається з двох поверхів та великої мансарди. В будинку сім кімнат, дві кухні, три санвузли, є дров'яна піч. Стан будинку в цілому жилий, але ремонт не завадить). Всі комунікації централізовані. Ділянка 10 соток, переважно рівна. На ділянці є господарчі будівлі, гараж з ямою, ростуть фруктові дерева. Ділянка має два заїзди з різних боків.</t>
  </si>
  <si>
    <t>2512182013267361</t>
  </si>
  <si>
    <t>https://dom.ria.com/uk/realty-prodaja-dom-kiev-shirma-alpiyskaya-pyatigorskaya-ulitsa-33548990.html</t>
  </si>
  <si>
    <t>Будинок за адресом вул. Альпійська 45 Д загальною площею 481.9м2 і окремим гаражем 40м2 під два авто. Будинок має два поверхи, мансарда і підвал( повноцінний бункер) або кімната під кінотеатр. На першому поверсі є басейн, технічне приміщення, туалет, кабінет, кімната відпочинку. на другому поверсі розміщено три великих спальні, великий гардероб та велику ванну кімнату. Гараж під два авто, та з великим підвальним приміщенням під різні потреби. Будинок розміщений на ділянці 6 соток.</t>
  </si>
  <si>
    <t>2512182013261679</t>
  </si>
  <si>
    <t>https://dom.ria.com/uk/realty-prodaja-dom-kiev-dobryy-shlyah-dobryy-put-ulitsa-33415656.html</t>
  </si>
  <si>
    <t>Продаж будинку в Києві, Голосіївський р-н, Добрий Шлях вул., ст.м. Васильківська,
Будтнок 495 кв.м, Ділянка 10 соток. Поверхи 3 та гараж на 2 авто (2 машини стане у дворі) 6 спалень кабінет, 4 сан вузли.Котелня .
Будинок будувався для себе із високоякісних матеріалів.
-Центральний кондиціонер, система "розумний дім".
-Сходи та підвіконня з білого мармуру.Камін з оніксу.
-Вбудована єксклюзивна кухня Італійська виробницва та побутова техніка SMEG.
-Автоматизований клімат-контроль по всьому будинку з системою вентиляції із рекуперацією повітря.Очистка і фільтрація води.
-Дерев'яні склопакети та двері виробництва Польща
-Система охорони та відеоспостереження (8 відеокамер).
-Газовий котел Viesmann та додатковий котел на пелетах. Автомномне живленя (Инвектор на 10квт)
Ландшафтний дизайн.Альтанка барбекю. Ультрафіолетова баня с зоною для спорту.
Є можливість обладнати басейн у дворі (є проект і комунікації.)
Біля будинку є наявність відремонтованого бомбосховища в 15 метрах.</t>
  </si>
  <si>
    <t>2512182013261215</t>
  </si>
  <si>
    <t>https://dom.ria.com/uk/realty-prodaja-dom-kiev-pecherskiy-tovarnaya-ulitsa-32918518.html</t>
  </si>
  <si>
    <t>Пропонується двоповерховий будинок 2003 року побудови, загальною площею 210 м², розрахований на дві окремі сімї. (Один об'єкт, продається весь) Структура будинку: Основна частина 5 повноцінних кімнат + велике подвір'я Друга частина однокімнатна квартира з окремим входом, власним подвірям та гаражем
Два окремі входи, окремі ворота та відокремлені подвір'я розділені парканом ( все легко об'єднати за потреби) Загальна площа ділянки 7, 3 сотки Комунікації та зручності: Газ, централізоване водопостачання та каналізація Стабільне електропостачання (відключення світла майже не траплялися) Два електролічильники та два газові лічильники Локація та інфраструктура: Тихий, безпечний район поруч із кількома посольствами різних країн Зручне транспортне сполучення метро в пішій доступності Поруч: NOVUS, Нова Пошта, ROZETKA, аптеки, магазини Дитячі садочки, школа, лікарня Спокійний, затишний мікрорайон майже як в передмісті, але в самому серці Києва</t>
  </si>
  <si>
    <t>2512182013261412</t>
  </si>
  <si>
    <t>https://dom.ria.com/uk/realty-prodaja-dom-kiev-goloseevskiy-uchbovaya-ulitsa-32220768.html</t>
  </si>
  <si>
    <t>Пропонується до продажу будинок у мальовничому місці біля "Китаївської пустині". Затишний та доглянутий будинок. На ділянці 10 соток розташувався основний будинок, теплий гараж з окремим господарчим блоком, мангальна зона і простора ділянка з молодим фруктовим садом, квітником і газоном на цілих 5-ти сотках. Є місце для альтанки, басейну. Простора кухня, велика вітальня, дві спальні, санвузол, гардеробна кімната. Чудова інфраструктура</t>
  </si>
  <si>
    <t>2512182013260436</t>
  </si>
  <si>
    <t>https://dom.ria.com/uk/realty-prodaja-dom-kiev-zverinets-sadovo-botanicheskaya-timiryazevskaya-ulitsa-33062538.html</t>
  </si>
  <si>
    <t>Терміново продамо свої апартаменти на Печерську з видом на Ботанічний садв ЖК Тимірязівський.Квартира чотирирівнева в якій виконаний ремонт з екологічно чистих матеріалів, вся побутова техніка та меблі від провідних виробників Європи. Система розумний будинок. На 1-му поверсі знаходиться паркінг на два автомобілі кімната для охорони, кухня, сан/вузол, кімната відпочинку, вбиральня, технічна, сейфова кімнати. На 2-му поверсі-велика вітальня, їдальня, кухнею-студіо, тренажерний зал, є так само сан.вузол і вихід у внутрішній свій дворик.На 3-му поверсі розташована господарська та гостьові спальні зі своїми сан/вузлами та балконами, вбиральня кімната.На 4-му поверсі знаходиться кабінет, дитяча або спальня, сан/вузол. У квартирі автономне опалення та вода, встановлені свої котли, є своя артезіанська свердловина, фільтри очищення тощо</t>
  </si>
  <si>
    <t>2512182013261002</t>
  </si>
  <si>
    <t>https://dom.ria.com/uk/realty-prodaja-dom-kiev-zverinets-dubenskaya-ulitsa-32642999.html</t>
  </si>
  <si>
    <t>Luxurious house in the center of the capital in the elite district of Pechersk is the Menagerie. The house with a unique auth's design is fully equipped with furniture appliances.
The house consists of 3 flos basement: The basement is in fact a full-fledged flo with access to the ground at the back of the house, since the house is on a slope, there is:
- swimming pool with sauna, bath shower; - seating area with sofas a f shared breakfasts; - music room-studio; - kitchen with pantries; - cold room with freezers refrigerats; - staff room; ь- server; - bathroom; - 2 car garage access. 1st flo is a zone f meeting guests spending time together: - entrance hall with wardrobe f outerwear separate wardrobes f shoes - guest bathroom - a living room of 186 sq.m, with divided areas: a hall with sofas a large cinema, an area with a , an area with a fireplace - access to the terrace</t>
  </si>
  <si>
    <t>2512182013261999</t>
  </si>
  <si>
    <t>https://dom.ria.com/uk/realty-prodaja-dom-kiev-pechersk-ikolaya-aello-lia-29370466.html</t>
  </si>
  <si>
    <t>Печерск, дом с видом на Ботанический сад. Прямая продажа от хозяина Продаю дом в шикарном месте. Тихий центр- Киев, Печерск. Огромная терраса и потрясающий вид на Ботанический сад. Площадь около 600 кв.м, 3 этажа + мансарда, гараж на 3 автомобиля, 6 комнат, 3 санузла, 2 террасы, 2 балкона. Стены: 2 кирпича + утеплитель + декоративный кирпич, крыша металлочерепица, отопление газовое, экономный котел Buderus, водопровод и канализация центральные. Цоколь: бильярдная, баня с бассейном, топочная, винный погреб , терраса с выходом во двор. 1 этаж: холл, гостиная с камином и выходом на просторную террасу, терраса, кухня-столовая, кабинет, гардеробная. 2 этаж: холл, 4 спальни, 2 санузла, 2 балкона. 3 этаж: мансарда - 90 кв.м Земельный участок 10 сот., во дворе на участке красиво и зелено. Благодаря каскадам, дом с фасадной части 2-х этажный. Со стороны двора дом 3-х этажный. Гараж 100 кв.м на 3 машины.</t>
  </si>
  <si>
    <t>2512182013266143</t>
  </si>
  <si>
    <t>https://dom.ria.com/uk/realty-prodaja-dom-kiev-pecherskiy-bolsunovskaya-ulitsa-31313713.html</t>
  </si>
  <si>
    <t>Продаж фундаментального будинку 750 м2 повністю укомплектованого меблями та побутовою технікою. Знаходиться в найпрестижнішому кварталі на Печерську - вул Буслівська. Поруч гарно розвинена інфраструктура: кафе, ресторани, тренажерна зала, ботаничний сад. Тихе і респектабельне місце - поруч багато Посольств та резиденцій. Планування: Перший поверх - кухня/вітальня - гостьова спальня з санвузлом - кінозал - комора -санвузол Другий поверх - 2 майстер спальні - кабінет - дитяча Третій поверх - більярдна - кімната відпочинку - кімната вільного призначення Цокольний поверх - басейн - сауна - побутова кімната - кімната відпочинку - гардероб - санвузол Також є гараж на 2 машини і технічні приміщення та кімнати для персоналу з окремим входом.</t>
  </si>
  <si>
    <t>2512182013263418</t>
  </si>
  <si>
    <t>https://dom.ria.com/uk/realty-prodaja-dom-kiev-troeschina-modzalevskogo-vadima-vulitsya-modzalevskogo-vadima-vulitsya-ulitsa-26973455.html</t>
  </si>
  <si>
    <t>Продається сучасний заміський будинок у стилі "high-tech", з гостьовим будинком та бункером у Деснянському районі. Будувався з найкращих матеріалів за всіма правилами сучасного будівництва! Загальна площа основного будинку - 240 м2, гостьовий будинок - 120 м2. Площа ділянки - 14 соток. Матеріал стін - керамоблок "Кератерм 380", зовнішнє утеплення стін - мін. вата (100 мм). Оздоблення фасаду - декоративна штукатурка. Плаский дах з гідроізоляцією, утеплення - мін. вата (250 мм). Основа будинку - монолітний фундамент 1.5 м завглибшки, утеплений та гідроізольований. Перекриття - монолітна плита. Встановлено металопластикові вікна з 7-камерним профілем "REHAU" з двокамерними склопакетами. Система опалення - електро + підготовка під твердопаливний котел, 1-2 поверх - тепла підлога. Сучасний дизайнерський ремонт. Кухня із вбудованою побутовою технікою. Духовка, мікрохвильова піч, холодильник, посудомийна машина. На 1-му поверсі - просторий зал-їдальня, кабінет, спальня з санвузлом, гостьова кімната, гостьовий санвузол, кухонна зона, бойлерна. На 2-му поверсі - три спальні, 1 санвузол, гардероб. Гостьовий будинок повністю мебльований з повноцінною кухнею з вбудованою побутовою технікою. Санвузол, душова, комора, лазня на дровах (камін), зона BBQ, бункер із монолітним перекриттям. За гостьовим будинком міні-сад-город з бетонними доріжками для зручного підступу до врожаю. Також передбачено вентильований навіс для дров. Підключено всі комунікації - свердловина (60 м), очищення води "Ecosoft", світло 30 кВт, септик переливний на 18 куб з полем фільтрації, автополив "Hunter USA", відеоспостереження по периметру ділянки, автоматичні ворота, закладено комунікації під басейн.</t>
  </si>
  <si>
    <t>2512182013265145</t>
  </si>
  <si>
    <t>https://dom.ria.com/uk/realty-prodaja-dom-kiev-troeschina-mitropolita-vladimira-sabodana-kirova-troeschina-ulitsa-33705865.html</t>
  </si>
  <si>
    <t>Продаж будинка вул. Сабодана Троєщина Деснянський район в Києві. Продається цегляний будинок у Києві, Троєщина (Деснянський район)Адреса: вул. Митрополита Володимира Сабодана (Кірова) 16-Ж, поруч з вул. Бальзака, Рейгана (Драйзера). Земельна ділянка 10 соток. Загальна площа 640 м²Житлова площа 155 м² - 5 кімнат - Тип стін: Цегляний - Зовнішнє утеплення стін: Мінеральна вата - Тип покрівлі: Бітумна черепиця - Побутова техніка: Посудомийна машина, Холодильник, Варильна панель, Мікрохвильова піч, Духова шафа, Плита, Пральна машина. - Мультимедіа: Кабельне, цифрове ТБ, Супутникове ТБ, Швидкісний інтернет, Телевізор, Wi-Fi - Комфорт: Альтанка, мангал, Відеоспостереження, Гараж, Сад, город, Спортзал, Підігрів підлоги, Сигналізація, Підсобні приміщення, Кондиціонер, Автоматичні ворота, Балкон, Цоколь, підвал, Ванна, Огорожа, Камін - Комунікації: Асфальтована дорога, Електрика, Газ, Каналізація септик, Свердловина - Інфраструктура (до 500 метрів): Відділення банку, банкомат, Аптека, Магазин, кіоск, Супермаркет, ТРЦ, Зупинка транспорту, Лікарня, поліклініка, Дитячий садок, Ринок, Парк, зелена зона, Дитячий майданчик, Відділення пошти, Ресторан, кафе, Школа.</t>
  </si>
  <si>
    <t>2512182013264146</t>
  </si>
  <si>
    <t>https://dom.ria.com/uk/realty-prodaja-dom-kiev-obolonskiy-bogatyrskaya-ulitsa-33216789.html</t>
  </si>
  <si>
    <t>Комфорт, тиша та затишок в одному рішенні. Будинок доглянутий, повністю готовий до проживання заходь і живи! Світлий, просторий інтерєр Якісний ремонт, меблі та техніка залишаються Зелена ділянка з садом / зоною BBQ Гараж / баня / літня кухня / власний спорт зал все в наявності Асфальтований підїзд, хороші сусіди, тиха вулиця Домашній кінотеатр Більярд Сонячні панелі та батареї на 20 кВт + зелений тариф Два газових котла, тепла підлога Зручне розташування 20 хв до центру міста на авто</t>
  </si>
  <si>
    <t>2512182013269126</t>
  </si>
  <si>
    <t>https://dom.ria.com/uk/realty-prodaja-dom-kiev-syrets-chaplygina-ulitsa-33361054.html</t>
  </si>
  <si>
    <t>2 поверховий будинок ( половина будинку), в Києві та ділянка 3, 41 сотки біля метро "Сирець" , пропонується до продажу.
Загальна площа - 150 м2. Будинок продається з меблями та технікою. На першому поверсі - камінний зал, кухня-студія та вбиральня. Санвузол - роздільний. На другому поверсі - 2 спальні та санвузол. Біля будинку - чудова ділянка з газоном, хвойними деревами 20 (ялинок та туй) та зоною "барбекю" . Біля будинку - місце для паркування на 2 машини з автоматичними воротами + гараж. Добре розвинена інфраструктура. Хороший район, поруч супермаркети, школа, садки, парк. До метро "Сирець" - 10 хв пішки. Поряд розташовані вулиці: Бакинська, Полянська, Берлінського, Ольжича та провулок Бакинський. Поруч розташовані житлові масиви: Дорогожичи, Берковець, Нивки та Берестейська.</t>
  </si>
  <si>
    <t>2512182013261179</t>
  </si>
  <si>
    <t>https://dom.ria.com/uk/realty-prodaja-dom-kiev-shevchenkovskiy-cherkasskaya-ulitsa-33139058.html</t>
  </si>
  <si>
    <t>До Вашоі уваги пропонується продаж 3 кімнатного будинку та земельної ділянки 6.5 соток в Києві в Шевченківському районі.
Будинок та ділянка розташована неподалік від посольства США. В будинок заведена електроенергія (220В), централізоване міське водопостачання. Призначення - під забудову. Ділянка має схил. На ділянці - розташовані старенький будинок, гараж та сарай. Будівлі потребують ремонту. Загальна площа будинку - 54 м2. В будинку - новий лічильник, централізована подача холодноі води. На ділянці - скважина. Електроенергія -220 В, підключена до будинку, вздовж ділянки проходить кабель - 380 В. Газова труба знаходиться поруч, на ділянці у сусідів. Каналізація - на ділянці, біля будинку. Поряд з ділянкою - затишна паркова зона, де Ви зможете насолодитись спокійним відпочинком на свіжому повітрі. Поруч розташовані метро Берестейська, Сирець, Дорогожичи.</t>
  </si>
  <si>
    <t>2512182013261731</t>
  </si>
  <si>
    <t>https://dom.ria.com/uk/realty-prodaja-uchastok-pod-jiluyu-zastroyku-kiev-shevchenkovskiy-magistralnaya-ulitsa-33365422.html</t>
  </si>
  <si>
    <t>м.Сирець, м.Нивки Ділянка в Києві, обокремленне містечко в місті і в парку 7 соток світло, газ , каналізація по вулиці асфальтований підїзд пропозиція, ізюминка, таких пропозицій більш немає
 Від метро Сирець, або Нивки дорога пролягає через парк , озера , поруч річка Сирець Характеристика ділянки: Розташування: в населеному пункті  •  рельєф: пагорб  •  Довжина ділянки: 28  •  Ширина ділянки: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</si>
</sst>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Times New Roman"/>
      <family val="1"/>
      <charset val="204"/>
    </font>
    <font>
      <b/>
      <sz val="10"/>
      <name val="Times New Roman"/>
      <family val="1"/>
      <charset val="204"/>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1">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3" fontId="2" fillId="0" borderId="2" xfId="0" applyNumberFormat="1" applyFont="1" applyBorder="1" applyAlignment="1">
      <alignment vertical="center" wrapText="1"/>
    </xf>
    <xf numFmtId="0" fontId="2" fillId="0" borderId="0" xfId="0" applyFont="1" applyAlignment="1">
      <alignment vertical="center"/>
    </xf>
    <xf numFmtId="0" fontId="2" fillId="0" borderId="2" xfId="0" applyFont="1" applyBorder="1" applyAlignment="1">
      <alignment vertical="center" wrapText="1"/>
    </xf>
    <xf numFmtId="3" fontId="2" fillId="0" borderId="1" xfId="0" applyNumberFormat="1" applyFont="1" applyBorder="1" applyAlignment="1">
      <alignment vertical="center" wrapText="1"/>
    </xf>
    <xf numFmtId="0" fontId="2" fillId="0" borderId="1" xfId="0" applyFont="1" applyBorder="1" applyAlignment="1">
      <alignment vertical="center" wrapText="1"/>
    </xf>
    <xf numFmtId="3" fontId="1" fillId="0" borderId="1" xfId="0" applyNumberFormat="1" applyFont="1" applyBorder="1" applyAlignment="1">
      <alignment vertical="center" wrapText="1"/>
    </xf>
    <xf numFmtId="14" fontId="1" fillId="0" borderId="1" xfId="0" applyNumberFormat="1" applyFont="1" applyBorder="1" applyAlignment="1">
      <alignment vertical="center" wrapText="1"/>
    </xf>
    <xf numFmtId="3" fontId="1" fillId="0" borderId="0" xfId="0" applyNumberFormat="1" applyFont="1" applyAlignment="1">
      <alignment vertical="center" wrapText="1"/>
    </xf>
  </cellXfs>
  <cellStyles count="1">
    <cellStyle name="Звичайни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c55ba288b6d60b4a/GVS/valuation_data/offers.xlsx" TargetMode="External"/><Relationship Id="rId1" Type="http://schemas.openxmlformats.org/officeDocument/2006/relationships/externalLinkPath" Target="valuation_data/off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Listings"/>
      <sheetName val="СВОД"/>
      <sheetName val="Lookups"/>
      <sheetName val="Типи_ФДМУ"/>
      <sheetName val="VM_ValuationApproach"/>
      <sheetName val="VM_MassAppraisal"/>
      <sheetName val="VM_Valuation"/>
      <sheetName val="VM_SalesStatistic"/>
      <sheetName val="AI_Generator"/>
      <sheetName val="Parcels"/>
      <sheetName val="VM_Building"/>
      <sheetName val="VM_CondominiumUnit"/>
      <sheetName val="VM_ValuationUnit"/>
      <sheetName val="VM_ValuationUnitGroup "/>
      <sheetName val="VM_TransactionPrice"/>
      <sheetName val="VM_VolumeValue"/>
      <sheetName val="Photos"/>
      <sheetName val="DataDictionary"/>
      <sheetName val="FeaturesSpec"/>
      <sheetName val="README"/>
      <sheetName val="Dictionary_code"/>
      <sheetName val="Dictionary_точність_геокодуванн"/>
      <sheetName val="VM_ValuationSource"/>
      <sheetName val="VM_AreaValue"/>
      <sheetName val="VM_SalesComparisonApproach"/>
      <sheetName val="VM_CostApproach"/>
      <sheetName val="VM_IncomeApproach"/>
      <sheetName val="VM_MassAppraisalPerformance"/>
      <sheetName val="SpatialUnit_Decode"/>
      <sheetName val="VM_Spatial_Unit"/>
      <sheetName val="MarketObservation_Decode"/>
      <sheetName val="Офіційний курс гривні щодо ..."/>
      <sheetName val="VM_Market_Observation"/>
      <sheetName val="MarketObservationMedia"/>
      <sheetName val="market_observation_medi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ow r="3">
          <cell r="C3" t="str">
            <v>Ключі та зв’язки</v>
          </cell>
          <cell r="D3" t="str">
            <v>market_observation_id</v>
          </cell>
        </row>
        <row r="4">
          <cell r="D4" t="str">
            <v>spatial_unit_id</v>
          </cell>
        </row>
        <row r="5">
          <cell r="D5" t="str">
            <v>source_site</v>
          </cell>
        </row>
        <row r="6">
          <cell r="D6" t="str">
            <v>url</v>
          </cell>
        </row>
        <row r="7">
          <cell r="D7" t="str">
            <v>scrape_date</v>
          </cell>
        </row>
        <row r="8">
          <cell r="D8" t="str">
            <v>listing_date</v>
          </cell>
        </row>
        <row r="9">
          <cell r="D9" t="str">
            <v>status_code</v>
          </cell>
        </row>
        <row r="10">
          <cell r="D10" t="str">
            <v>offer_type_code</v>
          </cell>
        </row>
        <row r="11">
          <cell r="D11" t="str">
            <v>price_amount</v>
          </cell>
        </row>
        <row r="12">
          <cell r="D12" t="str">
            <v>price_currency</v>
          </cell>
        </row>
        <row r="13">
          <cell r="D13" t="str">
            <v>price_amount_uah</v>
          </cell>
        </row>
        <row r="14">
          <cell r="D14" t="str">
            <v>price_per_m2_uah</v>
          </cell>
        </row>
        <row r="15">
          <cell r="D15" t="str">
            <v>title</v>
          </cell>
        </row>
        <row r="16">
          <cell r="D16" t="str">
            <v>description</v>
          </cell>
        </row>
        <row r="17">
          <cell r="D17" t="str">
            <v>dedup_hash</v>
          </cell>
        </row>
        <row r="18">
          <cell r="D18" t="str">
            <v>data_qc_status</v>
          </cell>
        </row>
        <row r="19">
          <cell r="D19" t="str">
            <v>normalized_url</v>
          </cell>
        </row>
      </sheetData>
      <sheetData sheetId="31">
        <row r="466">
          <cell r="A466">
            <v>45566</v>
          </cell>
          <cell r="B466" t="str">
            <v>00.00</v>
          </cell>
          <cell r="C466">
            <v>840</v>
          </cell>
          <cell r="D466" t="str">
            <v>USD</v>
          </cell>
          <cell r="E466">
            <v>1</v>
          </cell>
          <cell r="F466" t="str">
            <v>Долар США</v>
          </cell>
          <cell r="G466">
            <v>41.219900000000003</v>
          </cell>
        </row>
        <row r="467">
          <cell r="A467">
            <v>45567</v>
          </cell>
          <cell r="B467" t="str">
            <v>00.00</v>
          </cell>
          <cell r="C467">
            <v>840</v>
          </cell>
          <cell r="D467" t="str">
            <v>USD</v>
          </cell>
          <cell r="E467">
            <v>1</v>
          </cell>
          <cell r="F467" t="str">
            <v>Долар США</v>
          </cell>
          <cell r="G467">
            <v>41.247599999999998</v>
          </cell>
        </row>
        <row r="468">
          <cell r="A468">
            <v>45568</v>
          </cell>
          <cell r="B468" t="str">
            <v>00.00</v>
          </cell>
          <cell r="C468">
            <v>840</v>
          </cell>
          <cell r="D468" t="str">
            <v>USD</v>
          </cell>
          <cell r="E468">
            <v>1</v>
          </cell>
          <cell r="F468" t="str">
            <v>Долар США</v>
          </cell>
          <cell r="G468">
            <v>41.275500000000001</v>
          </cell>
        </row>
        <row r="469">
          <cell r="A469">
            <v>45569</v>
          </cell>
          <cell r="B469" t="str">
            <v>00.00</v>
          </cell>
          <cell r="C469">
            <v>840</v>
          </cell>
          <cell r="D469" t="str">
            <v>USD</v>
          </cell>
          <cell r="E469">
            <v>1</v>
          </cell>
          <cell r="F469" t="str">
            <v>Долар США</v>
          </cell>
          <cell r="G469">
            <v>41.220199999999998</v>
          </cell>
        </row>
        <row r="470">
          <cell r="A470">
            <v>45570</v>
          </cell>
          <cell r="B470" t="str">
            <v>00.00</v>
          </cell>
          <cell r="C470">
            <v>840</v>
          </cell>
          <cell r="D470" t="str">
            <v>USD</v>
          </cell>
          <cell r="E470">
            <v>1</v>
          </cell>
          <cell r="F470" t="str">
            <v>Долар США</v>
          </cell>
          <cell r="G470">
            <v>41.220199999999998</v>
          </cell>
        </row>
        <row r="471">
          <cell r="A471">
            <v>45571</v>
          </cell>
          <cell r="B471" t="str">
            <v>00.00</v>
          </cell>
          <cell r="C471">
            <v>840</v>
          </cell>
          <cell r="D471" t="str">
            <v>USD</v>
          </cell>
          <cell r="E471">
            <v>1</v>
          </cell>
          <cell r="F471" t="str">
            <v>Долар США</v>
          </cell>
          <cell r="G471">
            <v>41.220199999999998</v>
          </cell>
        </row>
        <row r="472">
          <cell r="A472">
            <v>45572</v>
          </cell>
          <cell r="B472" t="str">
            <v>00.00</v>
          </cell>
          <cell r="C472">
            <v>840</v>
          </cell>
          <cell r="D472" t="str">
            <v>USD</v>
          </cell>
          <cell r="E472">
            <v>1</v>
          </cell>
          <cell r="F472" t="str">
            <v>Долар США</v>
          </cell>
          <cell r="G472">
            <v>41.185899999999997</v>
          </cell>
        </row>
        <row r="473">
          <cell r="A473">
            <v>45573</v>
          </cell>
          <cell r="B473" t="str">
            <v>00.00</v>
          </cell>
          <cell r="C473">
            <v>840</v>
          </cell>
          <cell r="D473" t="str">
            <v>USD</v>
          </cell>
          <cell r="E473">
            <v>1</v>
          </cell>
          <cell r="F473" t="str">
            <v>Долар США</v>
          </cell>
          <cell r="G473">
            <v>41.196100000000001</v>
          </cell>
        </row>
        <row r="474">
          <cell r="A474">
            <v>45574</v>
          </cell>
          <cell r="B474" t="str">
            <v>00.00</v>
          </cell>
          <cell r="C474">
            <v>840</v>
          </cell>
          <cell r="D474" t="str">
            <v>USD</v>
          </cell>
          <cell r="E474">
            <v>1</v>
          </cell>
          <cell r="F474" t="str">
            <v>Долар США</v>
          </cell>
          <cell r="G474">
            <v>41.175600000000003</v>
          </cell>
        </row>
        <row r="475">
          <cell r="A475">
            <v>45575</v>
          </cell>
          <cell r="B475" t="str">
            <v>00.00</v>
          </cell>
          <cell r="C475">
            <v>840</v>
          </cell>
          <cell r="D475" t="str">
            <v>USD</v>
          </cell>
          <cell r="E475">
            <v>1</v>
          </cell>
          <cell r="F475" t="str">
            <v>Долар США</v>
          </cell>
          <cell r="G475">
            <v>41.193399999999997</v>
          </cell>
        </row>
        <row r="476">
          <cell r="A476">
            <v>45576</v>
          </cell>
          <cell r="B476" t="str">
            <v>00.00</v>
          </cell>
          <cell r="C476">
            <v>840</v>
          </cell>
          <cell r="D476" t="str">
            <v>USD</v>
          </cell>
          <cell r="E476">
            <v>1</v>
          </cell>
          <cell r="F476" t="str">
            <v>Долар США</v>
          </cell>
          <cell r="G476">
            <v>41.2072</v>
          </cell>
        </row>
        <row r="477">
          <cell r="A477">
            <v>45577</v>
          </cell>
          <cell r="B477" t="str">
            <v>00.00</v>
          </cell>
          <cell r="C477">
            <v>840</v>
          </cell>
          <cell r="D477" t="str">
            <v>USD</v>
          </cell>
          <cell r="E477">
            <v>1</v>
          </cell>
          <cell r="F477" t="str">
            <v>Долар США</v>
          </cell>
          <cell r="G477">
            <v>41.2072</v>
          </cell>
        </row>
        <row r="478">
          <cell r="A478">
            <v>45578</v>
          </cell>
          <cell r="B478" t="str">
            <v>00.00</v>
          </cell>
          <cell r="C478">
            <v>840</v>
          </cell>
          <cell r="D478" t="str">
            <v>USD</v>
          </cell>
          <cell r="E478">
            <v>1</v>
          </cell>
          <cell r="F478" t="str">
            <v>Долар США</v>
          </cell>
          <cell r="G478">
            <v>41.2072</v>
          </cell>
        </row>
        <row r="479">
          <cell r="A479">
            <v>45579</v>
          </cell>
          <cell r="B479" t="str">
            <v>00.00</v>
          </cell>
          <cell r="C479">
            <v>840</v>
          </cell>
          <cell r="D479" t="str">
            <v>USD</v>
          </cell>
          <cell r="E479">
            <v>1</v>
          </cell>
          <cell r="F479" t="str">
            <v>Долар США</v>
          </cell>
          <cell r="G479">
            <v>41.189100000000003</v>
          </cell>
        </row>
        <row r="480">
          <cell r="A480">
            <v>45580</v>
          </cell>
          <cell r="B480" t="str">
            <v>00.00</v>
          </cell>
          <cell r="C480">
            <v>840</v>
          </cell>
          <cell r="D480" t="str">
            <v>USD</v>
          </cell>
          <cell r="E480">
            <v>1</v>
          </cell>
          <cell r="F480" t="str">
            <v>Долар США</v>
          </cell>
          <cell r="G480">
            <v>41.196300000000001</v>
          </cell>
        </row>
        <row r="481">
          <cell r="A481">
            <v>45581</v>
          </cell>
          <cell r="B481" t="str">
            <v>00.00</v>
          </cell>
          <cell r="C481">
            <v>840</v>
          </cell>
          <cell r="D481" t="str">
            <v>USD</v>
          </cell>
          <cell r="E481">
            <v>1</v>
          </cell>
          <cell r="F481" t="str">
            <v>Долар США</v>
          </cell>
          <cell r="G481">
            <v>41.213900000000002</v>
          </cell>
        </row>
        <row r="482">
          <cell r="A482">
            <v>45582</v>
          </cell>
          <cell r="B482" t="str">
            <v>00.00</v>
          </cell>
          <cell r="C482">
            <v>840</v>
          </cell>
          <cell r="D482" t="str">
            <v>USD</v>
          </cell>
          <cell r="E482">
            <v>1</v>
          </cell>
          <cell r="F482" t="str">
            <v>Долар США</v>
          </cell>
          <cell r="G482">
            <v>41.2256</v>
          </cell>
        </row>
        <row r="483">
          <cell r="A483">
            <v>45583</v>
          </cell>
          <cell r="B483" t="str">
            <v>00.00</v>
          </cell>
          <cell r="C483">
            <v>840</v>
          </cell>
          <cell r="D483" t="str">
            <v>USD</v>
          </cell>
          <cell r="E483">
            <v>1</v>
          </cell>
          <cell r="F483" t="str">
            <v>Долар США</v>
          </cell>
          <cell r="G483">
            <v>41.235100000000003</v>
          </cell>
        </row>
        <row r="484">
          <cell r="A484">
            <v>45584</v>
          </cell>
          <cell r="B484" t="str">
            <v>00.00</v>
          </cell>
          <cell r="C484">
            <v>840</v>
          </cell>
          <cell r="D484" t="str">
            <v>USD</v>
          </cell>
          <cell r="E484">
            <v>1</v>
          </cell>
          <cell r="F484" t="str">
            <v>Долар США</v>
          </cell>
          <cell r="G484">
            <v>41.235100000000003</v>
          </cell>
        </row>
        <row r="485">
          <cell r="A485">
            <v>45585</v>
          </cell>
          <cell r="B485" t="str">
            <v>00.00</v>
          </cell>
          <cell r="C485">
            <v>840</v>
          </cell>
          <cell r="D485" t="str">
            <v>USD</v>
          </cell>
          <cell r="E485">
            <v>1</v>
          </cell>
          <cell r="F485" t="str">
            <v>Долар США</v>
          </cell>
          <cell r="G485">
            <v>41.235100000000003</v>
          </cell>
        </row>
        <row r="486">
          <cell r="A486">
            <v>45586</v>
          </cell>
          <cell r="B486" t="str">
            <v>00.00</v>
          </cell>
          <cell r="C486">
            <v>840</v>
          </cell>
          <cell r="D486" t="str">
            <v>USD</v>
          </cell>
          <cell r="E486">
            <v>1</v>
          </cell>
          <cell r="F486" t="str">
            <v>Долар США</v>
          </cell>
          <cell r="G486">
            <v>41.230800000000002</v>
          </cell>
        </row>
        <row r="487">
          <cell r="A487">
            <v>45587</v>
          </cell>
          <cell r="B487" t="str">
            <v>00.00</v>
          </cell>
          <cell r="C487">
            <v>840</v>
          </cell>
          <cell r="D487" t="str">
            <v>USD</v>
          </cell>
          <cell r="E487">
            <v>1</v>
          </cell>
          <cell r="F487" t="str">
            <v>Долар США</v>
          </cell>
          <cell r="G487">
            <v>41.283299999999997</v>
          </cell>
        </row>
        <row r="488">
          <cell r="A488">
            <v>45588</v>
          </cell>
          <cell r="B488" t="str">
            <v>00.00</v>
          </cell>
          <cell r="C488">
            <v>840</v>
          </cell>
          <cell r="D488" t="str">
            <v>USD</v>
          </cell>
          <cell r="E488">
            <v>1</v>
          </cell>
          <cell r="F488" t="str">
            <v>Долар США</v>
          </cell>
          <cell r="G488">
            <v>41.331299999999999</v>
          </cell>
        </row>
        <row r="489">
          <cell r="A489">
            <v>45589</v>
          </cell>
          <cell r="B489" t="str">
            <v>00.00</v>
          </cell>
          <cell r="C489">
            <v>840</v>
          </cell>
          <cell r="D489" t="str">
            <v>USD</v>
          </cell>
          <cell r="E489">
            <v>1</v>
          </cell>
          <cell r="F489" t="str">
            <v>Долар США</v>
          </cell>
          <cell r="G489">
            <v>41.273899999999998</v>
          </cell>
        </row>
        <row r="490">
          <cell r="A490">
            <v>45590</v>
          </cell>
          <cell r="B490" t="str">
            <v>00.00</v>
          </cell>
          <cell r="C490">
            <v>840</v>
          </cell>
          <cell r="D490" t="str">
            <v>USD</v>
          </cell>
          <cell r="E490">
            <v>1</v>
          </cell>
          <cell r="F490" t="str">
            <v>Долар США</v>
          </cell>
          <cell r="G490">
            <v>41.262999999999998</v>
          </cell>
        </row>
        <row r="491">
          <cell r="A491">
            <v>45591</v>
          </cell>
          <cell r="B491" t="str">
            <v>00.00</v>
          </cell>
          <cell r="C491">
            <v>840</v>
          </cell>
          <cell r="D491" t="str">
            <v>USD</v>
          </cell>
          <cell r="E491">
            <v>1</v>
          </cell>
          <cell r="F491" t="str">
            <v>Долар США</v>
          </cell>
          <cell r="G491">
            <v>41.262999999999998</v>
          </cell>
        </row>
        <row r="492">
          <cell r="A492">
            <v>45592</v>
          </cell>
          <cell r="B492" t="str">
            <v>00.00</v>
          </cell>
          <cell r="C492">
            <v>840</v>
          </cell>
          <cell r="D492" t="str">
            <v>USD</v>
          </cell>
          <cell r="E492">
            <v>1</v>
          </cell>
          <cell r="F492" t="str">
            <v>Долар США</v>
          </cell>
          <cell r="G492">
            <v>41.262999999999998</v>
          </cell>
        </row>
        <row r="493">
          <cell r="A493">
            <v>45593</v>
          </cell>
          <cell r="B493" t="str">
            <v>00.00</v>
          </cell>
          <cell r="C493">
            <v>840</v>
          </cell>
          <cell r="D493" t="str">
            <v>USD</v>
          </cell>
          <cell r="E493">
            <v>1</v>
          </cell>
          <cell r="F493" t="str">
            <v>Долар США</v>
          </cell>
          <cell r="G493">
            <v>41.313499999999998</v>
          </cell>
        </row>
        <row r="494">
          <cell r="A494">
            <v>45594</v>
          </cell>
          <cell r="B494" t="str">
            <v>00.00</v>
          </cell>
          <cell r="C494">
            <v>840</v>
          </cell>
          <cell r="D494" t="str">
            <v>USD</v>
          </cell>
          <cell r="E494">
            <v>1</v>
          </cell>
          <cell r="F494" t="str">
            <v>Долар США</v>
          </cell>
          <cell r="G494">
            <v>41.3292</v>
          </cell>
        </row>
        <row r="495">
          <cell r="A495">
            <v>45595</v>
          </cell>
          <cell r="B495" t="str">
            <v>00.00</v>
          </cell>
          <cell r="C495">
            <v>840</v>
          </cell>
          <cell r="D495" t="str">
            <v>USD</v>
          </cell>
          <cell r="E495">
            <v>1</v>
          </cell>
          <cell r="F495" t="str">
            <v>Долар США</v>
          </cell>
          <cell r="G495">
            <v>41.379800000000003</v>
          </cell>
        </row>
        <row r="496">
          <cell r="A496">
            <v>45596</v>
          </cell>
          <cell r="B496" t="str">
            <v>00.00</v>
          </cell>
          <cell r="C496">
            <v>840</v>
          </cell>
          <cell r="D496" t="str">
            <v>USD</v>
          </cell>
          <cell r="E496">
            <v>1</v>
          </cell>
          <cell r="F496" t="str">
            <v>Долар США</v>
          </cell>
          <cell r="G496">
            <v>41.279000000000003</v>
          </cell>
        </row>
        <row r="497">
          <cell r="A497">
            <v>45597</v>
          </cell>
          <cell r="B497" t="str">
            <v>00.00</v>
          </cell>
          <cell r="C497">
            <v>840</v>
          </cell>
          <cell r="D497" t="str">
            <v>USD</v>
          </cell>
          <cell r="E497">
            <v>1</v>
          </cell>
          <cell r="F497" t="str">
            <v>Долар США</v>
          </cell>
          <cell r="G497">
            <v>41.2194</v>
          </cell>
        </row>
        <row r="498">
          <cell r="A498">
            <v>45598</v>
          </cell>
          <cell r="B498" t="str">
            <v>00.00</v>
          </cell>
          <cell r="C498">
            <v>840</v>
          </cell>
          <cell r="D498" t="str">
            <v>USD</v>
          </cell>
          <cell r="E498">
            <v>1</v>
          </cell>
          <cell r="F498" t="str">
            <v>Долар США</v>
          </cell>
          <cell r="G498">
            <v>41.2194</v>
          </cell>
        </row>
        <row r="499">
          <cell r="A499">
            <v>45599</v>
          </cell>
          <cell r="B499" t="str">
            <v>00.00</v>
          </cell>
          <cell r="C499">
            <v>840</v>
          </cell>
          <cell r="D499" t="str">
            <v>USD</v>
          </cell>
          <cell r="E499">
            <v>1</v>
          </cell>
          <cell r="F499" t="str">
            <v>Долар США</v>
          </cell>
          <cell r="G499">
            <v>41.2194</v>
          </cell>
        </row>
        <row r="500">
          <cell r="A500">
            <v>45600</v>
          </cell>
          <cell r="B500" t="str">
            <v>00.00</v>
          </cell>
          <cell r="C500">
            <v>840</v>
          </cell>
          <cell r="D500" t="str">
            <v>USD</v>
          </cell>
          <cell r="E500">
            <v>1</v>
          </cell>
          <cell r="F500" t="str">
            <v>Долар США</v>
          </cell>
          <cell r="G500">
            <v>41.289099999999998</v>
          </cell>
        </row>
        <row r="501">
          <cell r="A501">
            <v>45601</v>
          </cell>
          <cell r="B501" t="str">
            <v>00.00</v>
          </cell>
          <cell r="C501">
            <v>840</v>
          </cell>
          <cell r="D501" t="str">
            <v>USD</v>
          </cell>
          <cell r="E501">
            <v>1</v>
          </cell>
          <cell r="F501" t="str">
            <v>Долар США</v>
          </cell>
          <cell r="G501">
            <v>41.395400000000002</v>
          </cell>
        </row>
        <row r="502">
          <cell r="A502">
            <v>45602</v>
          </cell>
          <cell r="B502" t="str">
            <v>00.00</v>
          </cell>
          <cell r="C502">
            <v>840</v>
          </cell>
          <cell r="D502" t="str">
            <v>USD</v>
          </cell>
          <cell r="E502">
            <v>1</v>
          </cell>
          <cell r="F502" t="str">
            <v>Долар США</v>
          </cell>
          <cell r="G502">
            <v>41.4375</v>
          </cell>
        </row>
        <row r="503">
          <cell r="A503">
            <v>45603</v>
          </cell>
          <cell r="B503" t="str">
            <v>00.00</v>
          </cell>
          <cell r="C503">
            <v>840</v>
          </cell>
          <cell r="D503" t="str">
            <v>USD</v>
          </cell>
          <cell r="E503">
            <v>1</v>
          </cell>
          <cell r="F503" t="str">
            <v>Долар США</v>
          </cell>
          <cell r="G503">
            <v>41.456200000000003</v>
          </cell>
        </row>
        <row r="504">
          <cell r="A504">
            <v>45604</v>
          </cell>
          <cell r="B504" t="str">
            <v>00.00</v>
          </cell>
          <cell r="C504">
            <v>840</v>
          </cell>
          <cell r="D504" t="str">
            <v>USD</v>
          </cell>
          <cell r="E504">
            <v>1</v>
          </cell>
          <cell r="F504" t="str">
            <v>Долар США</v>
          </cell>
          <cell r="G504">
            <v>41.358899999999998</v>
          </cell>
        </row>
        <row r="505">
          <cell r="A505">
            <v>45605</v>
          </cell>
          <cell r="B505" t="str">
            <v>00.00</v>
          </cell>
          <cell r="C505">
            <v>840</v>
          </cell>
          <cell r="D505" t="str">
            <v>USD</v>
          </cell>
          <cell r="E505">
            <v>1</v>
          </cell>
          <cell r="F505" t="str">
            <v>Долар США</v>
          </cell>
          <cell r="G505">
            <v>41.358899999999998</v>
          </cell>
        </row>
        <row r="506">
          <cell r="A506">
            <v>45606</v>
          </cell>
          <cell r="B506" t="str">
            <v>00.00</v>
          </cell>
          <cell r="C506">
            <v>840</v>
          </cell>
          <cell r="D506" t="str">
            <v>USD</v>
          </cell>
          <cell r="E506">
            <v>1</v>
          </cell>
          <cell r="F506" t="str">
            <v>Долар США</v>
          </cell>
          <cell r="G506">
            <v>41.358899999999998</v>
          </cell>
        </row>
        <row r="507">
          <cell r="A507">
            <v>45607</v>
          </cell>
          <cell r="B507" t="str">
            <v>00.00</v>
          </cell>
          <cell r="C507">
            <v>840</v>
          </cell>
          <cell r="D507" t="str">
            <v>USD</v>
          </cell>
          <cell r="E507">
            <v>1</v>
          </cell>
          <cell r="F507" t="str">
            <v>Долар США</v>
          </cell>
          <cell r="G507">
            <v>41.298200000000001</v>
          </cell>
        </row>
        <row r="508">
          <cell r="A508">
            <v>45608</v>
          </cell>
          <cell r="B508" t="str">
            <v>00.00</v>
          </cell>
          <cell r="C508">
            <v>840</v>
          </cell>
          <cell r="D508" t="str">
            <v>USD</v>
          </cell>
          <cell r="E508">
            <v>1</v>
          </cell>
          <cell r="F508" t="str">
            <v>Долар США</v>
          </cell>
          <cell r="G508">
            <v>41.298099999999998</v>
          </cell>
        </row>
        <row r="509">
          <cell r="A509">
            <v>45609</v>
          </cell>
          <cell r="B509" t="str">
            <v>00.00</v>
          </cell>
          <cell r="C509">
            <v>840</v>
          </cell>
          <cell r="D509" t="str">
            <v>USD</v>
          </cell>
          <cell r="E509">
            <v>1</v>
          </cell>
          <cell r="F509" t="str">
            <v>Долар США</v>
          </cell>
          <cell r="G509">
            <v>41.376300000000001</v>
          </cell>
        </row>
        <row r="510">
          <cell r="A510">
            <v>45610</v>
          </cell>
          <cell r="B510" t="str">
            <v>00.00</v>
          </cell>
          <cell r="C510">
            <v>840</v>
          </cell>
          <cell r="D510" t="str">
            <v>USD</v>
          </cell>
          <cell r="E510">
            <v>1</v>
          </cell>
          <cell r="F510" t="str">
            <v>Долар США</v>
          </cell>
          <cell r="G510">
            <v>41.341299999999997</v>
          </cell>
        </row>
        <row r="511">
          <cell r="A511">
            <v>45611</v>
          </cell>
          <cell r="B511" t="str">
            <v>00.00</v>
          </cell>
          <cell r="C511">
            <v>840</v>
          </cell>
          <cell r="D511" t="str">
            <v>USD</v>
          </cell>
          <cell r="E511">
            <v>1</v>
          </cell>
          <cell r="F511" t="str">
            <v>Долар США</v>
          </cell>
          <cell r="G511">
            <v>41.244599999999998</v>
          </cell>
        </row>
        <row r="512">
          <cell r="A512">
            <v>45612</v>
          </cell>
          <cell r="B512" t="str">
            <v>00.00</v>
          </cell>
          <cell r="C512">
            <v>840</v>
          </cell>
          <cell r="D512" t="str">
            <v>USD</v>
          </cell>
          <cell r="E512">
            <v>1</v>
          </cell>
          <cell r="F512" t="str">
            <v>Долар США</v>
          </cell>
          <cell r="G512">
            <v>41.244599999999998</v>
          </cell>
        </row>
        <row r="513">
          <cell r="A513">
            <v>45613</v>
          </cell>
          <cell r="B513" t="str">
            <v>00.00</v>
          </cell>
          <cell r="C513">
            <v>840</v>
          </cell>
          <cell r="D513" t="str">
            <v>USD</v>
          </cell>
          <cell r="E513">
            <v>1</v>
          </cell>
          <cell r="F513" t="str">
            <v>Долар США</v>
          </cell>
          <cell r="G513">
            <v>41.244599999999998</v>
          </cell>
        </row>
        <row r="514">
          <cell r="A514">
            <v>45614</v>
          </cell>
          <cell r="B514" t="str">
            <v>00.00</v>
          </cell>
          <cell r="C514">
            <v>840</v>
          </cell>
          <cell r="D514" t="str">
            <v>USD</v>
          </cell>
          <cell r="E514">
            <v>1</v>
          </cell>
          <cell r="F514" t="str">
            <v>Долар США</v>
          </cell>
          <cell r="G514">
            <v>41.279600000000002</v>
          </cell>
        </row>
        <row r="515">
          <cell r="A515">
            <v>45615</v>
          </cell>
          <cell r="B515" t="str">
            <v>00.00</v>
          </cell>
          <cell r="C515">
            <v>840</v>
          </cell>
          <cell r="D515" t="str">
            <v>USD</v>
          </cell>
          <cell r="E515">
            <v>1</v>
          </cell>
          <cell r="F515" t="str">
            <v>Долар США</v>
          </cell>
          <cell r="G515">
            <v>41.371499999999997</v>
          </cell>
        </row>
        <row r="516">
          <cell r="A516">
            <v>45616</v>
          </cell>
          <cell r="B516" t="str">
            <v>00.00</v>
          </cell>
          <cell r="C516">
            <v>840</v>
          </cell>
          <cell r="D516" t="str">
            <v>USD</v>
          </cell>
          <cell r="E516">
            <v>1</v>
          </cell>
          <cell r="F516" t="str">
            <v>Долар США</v>
          </cell>
          <cell r="G516">
            <v>41.331000000000003</v>
          </cell>
        </row>
        <row r="517">
          <cell r="A517">
            <v>45617</v>
          </cell>
          <cell r="B517" t="str">
            <v>00.00</v>
          </cell>
          <cell r="C517">
            <v>840</v>
          </cell>
          <cell r="D517" t="str">
            <v>USD</v>
          </cell>
          <cell r="E517">
            <v>1</v>
          </cell>
          <cell r="F517" t="str">
            <v>Долар США</v>
          </cell>
          <cell r="G517">
            <v>41.253300000000003</v>
          </cell>
        </row>
        <row r="518">
          <cell r="A518">
            <v>45618</v>
          </cell>
          <cell r="B518" t="str">
            <v>00.00</v>
          </cell>
          <cell r="C518">
            <v>840</v>
          </cell>
          <cell r="D518" t="str">
            <v>USD</v>
          </cell>
          <cell r="E518">
            <v>1</v>
          </cell>
          <cell r="F518" t="str">
            <v>Долар США</v>
          </cell>
          <cell r="G518">
            <v>41.286000000000001</v>
          </cell>
        </row>
        <row r="519">
          <cell r="A519">
            <v>45619</v>
          </cell>
          <cell r="B519" t="str">
            <v>00.00</v>
          </cell>
          <cell r="C519">
            <v>840</v>
          </cell>
          <cell r="D519" t="str">
            <v>USD</v>
          </cell>
          <cell r="E519">
            <v>1</v>
          </cell>
          <cell r="F519" t="str">
            <v>Долар США</v>
          </cell>
          <cell r="G519">
            <v>41.286000000000001</v>
          </cell>
        </row>
        <row r="520">
          <cell r="A520">
            <v>45620</v>
          </cell>
          <cell r="B520" t="str">
            <v>00.00</v>
          </cell>
          <cell r="C520">
            <v>840</v>
          </cell>
          <cell r="D520" t="str">
            <v>USD</v>
          </cell>
          <cell r="E520">
            <v>1</v>
          </cell>
          <cell r="F520" t="str">
            <v>Долар США</v>
          </cell>
          <cell r="G520">
            <v>41.286000000000001</v>
          </cell>
        </row>
        <row r="521">
          <cell r="A521">
            <v>45621</v>
          </cell>
          <cell r="B521" t="str">
            <v>00.00</v>
          </cell>
          <cell r="C521">
            <v>840</v>
          </cell>
          <cell r="D521" t="str">
            <v>USD</v>
          </cell>
          <cell r="E521">
            <v>1</v>
          </cell>
          <cell r="F521" t="str">
            <v>Долар США</v>
          </cell>
          <cell r="G521">
            <v>41.319299999999998</v>
          </cell>
        </row>
        <row r="522">
          <cell r="A522">
            <v>45622</v>
          </cell>
          <cell r="B522" t="str">
            <v>00.00</v>
          </cell>
          <cell r="C522">
            <v>840</v>
          </cell>
          <cell r="D522" t="str">
            <v>USD</v>
          </cell>
          <cell r="E522">
            <v>1</v>
          </cell>
          <cell r="F522" t="str">
            <v>Долар США</v>
          </cell>
          <cell r="G522">
            <v>41.438699999999997</v>
          </cell>
        </row>
        <row r="523">
          <cell r="A523">
            <v>45623</v>
          </cell>
          <cell r="B523" t="str">
            <v>00.00</v>
          </cell>
          <cell r="C523">
            <v>840</v>
          </cell>
          <cell r="D523" t="str">
            <v>USD</v>
          </cell>
          <cell r="E523">
            <v>1</v>
          </cell>
          <cell r="F523" t="str">
            <v>Долар США</v>
          </cell>
          <cell r="G523">
            <v>41.503500000000003</v>
          </cell>
        </row>
        <row r="524">
          <cell r="A524">
            <v>45624</v>
          </cell>
          <cell r="B524" t="str">
            <v>00.00</v>
          </cell>
          <cell r="C524">
            <v>840</v>
          </cell>
          <cell r="D524" t="str">
            <v>USD</v>
          </cell>
          <cell r="E524">
            <v>1</v>
          </cell>
          <cell r="F524" t="str">
            <v>Долар США</v>
          </cell>
          <cell r="G524">
            <v>41.600999999999999</v>
          </cell>
        </row>
        <row r="525">
          <cell r="A525">
            <v>45625</v>
          </cell>
          <cell r="B525" t="str">
            <v>00.00</v>
          </cell>
          <cell r="C525">
            <v>840</v>
          </cell>
          <cell r="D525" t="str">
            <v>USD</v>
          </cell>
          <cell r="E525">
            <v>1</v>
          </cell>
          <cell r="F525" t="str">
            <v>Долар США</v>
          </cell>
          <cell r="G525">
            <v>41.595599999999997</v>
          </cell>
        </row>
        <row r="526">
          <cell r="A526">
            <v>45626</v>
          </cell>
          <cell r="B526" t="str">
            <v>00.00</v>
          </cell>
          <cell r="C526">
            <v>840</v>
          </cell>
          <cell r="D526" t="str">
            <v>USD</v>
          </cell>
          <cell r="E526">
            <v>1</v>
          </cell>
          <cell r="F526" t="str">
            <v>Долар США</v>
          </cell>
          <cell r="G526">
            <v>41.595599999999997</v>
          </cell>
        </row>
        <row r="527">
          <cell r="A527">
            <v>45627</v>
          </cell>
          <cell r="B527" t="str">
            <v>00.00</v>
          </cell>
          <cell r="C527">
            <v>840</v>
          </cell>
          <cell r="D527" t="str">
            <v>USD</v>
          </cell>
          <cell r="E527">
            <v>1</v>
          </cell>
          <cell r="F527" t="str">
            <v>Долар США</v>
          </cell>
          <cell r="G527">
            <v>41.595599999999997</v>
          </cell>
        </row>
        <row r="528">
          <cell r="A528">
            <v>45628</v>
          </cell>
          <cell r="B528" t="str">
            <v>00.00</v>
          </cell>
          <cell r="C528">
            <v>840</v>
          </cell>
          <cell r="D528" t="str">
            <v>USD</v>
          </cell>
          <cell r="E528">
            <v>1</v>
          </cell>
          <cell r="F528" t="str">
            <v>Долар США</v>
          </cell>
          <cell r="G528">
            <v>41.584699999999998</v>
          </cell>
        </row>
        <row r="529">
          <cell r="A529">
            <v>45629</v>
          </cell>
          <cell r="B529" t="str">
            <v>00.00</v>
          </cell>
          <cell r="C529">
            <v>840</v>
          </cell>
          <cell r="D529" t="str">
            <v>USD</v>
          </cell>
          <cell r="E529">
            <v>1</v>
          </cell>
          <cell r="F529" t="str">
            <v>Долар США</v>
          </cell>
          <cell r="G529">
            <v>41.646099999999997</v>
          </cell>
        </row>
        <row r="530">
          <cell r="A530">
            <v>45630</v>
          </cell>
          <cell r="B530" t="str">
            <v>00.00</v>
          </cell>
          <cell r="C530">
            <v>840</v>
          </cell>
          <cell r="D530" t="str">
            <v>USD</v>
          </cell>
          <cell r="E530">
            <v>1</v>
          </cell>
          <cell r="F530" t="str">
            <v>Долар США</v>
          </cell>
          <cell r="G530">
            <v>41.697200000000002</v>
          </cell>
        </row>
        <row r="531">
          <cell r="A531">
            <v>45631</v>
          </cell>
          <cell r="B531" t="str">
            <v>00.00</v>
          </cell>
          <cell r="C531">
            <v>840</v>
          </cell>
          <cell r="D531" t="str">
            <v>USD</v>
          </cell>
          <cell r="E531">
            <v>1</v>
          </cell>
          <cell r="F531" t="str">
            <v>Долар США</v>
          </cell>
          <cell r="G531">
            <v>41.662799999999997</v>
          </cell>
        </row>
        <row r="532">
          <cell r="A532">
            <v>45632</v>
          </cell>
          <cell r="B532" t="str">
            <v>00.00</v>
          </cell>
          <cell r="C532">
            <v>840</v>
          </cell>
          <cell r="D532" t="str">
            <v>USD</v>
          </cell>
          <cell r="E532">
            <v>1</v>
          </cell>
          <cell r="F532" t="str">
            <v>Долар США</v>
          </cell>
          <cell r="G532">
            <v>41.597499999999997</v>
          </cell>
        </row>
        <row r="533">
          <cell r="A533">
            <v>45633</v>
          </cell>
          <cell r="B533" t="str">
            <v>00.00</v>
          </cell>
          <cell r="C533">
            <v>840</v>
          </cell>
          <cell r="D533" t="str">
            <v>USD</v>
          </cell>
          <cell r="E533">
            <v>1</v>
          </cell>
          <cell r="F533" t="str">
            <v>Долар США</v>
          </cell>
          <cell r="G533">
            <v>41.597499999999997</v>
          </cell>
        </row>
        <row r="534">
          <cell r="A534">
            <v>45634</v>
          </cell>
          <cell r="B534" t="str">
            <v>00.00</v>
          </cell>
          <cell r="C534">
            <v>840</v>
          </cell>
          <cell r="D534" t="str">
            <v>USD</v>
          </cell>
          <cell r="E534">
            <v>1</v>
          </cell>
          <cell r="F534" t="str">
            <v>Долар США</v>
          </cell>
          <cell r="G534">
            <v>41.597499999999997</v>
          </cell>
        </row>
        <row r="535">
          <cell r="A535">
            <v>45635</v>
          </cell>
          <cell r="B535" t="str">
            <v>00.00</v>
          </cell>
          <cell r="C535">
            <v>840</v>
          </cell>
          <cell r="D535" t="str">
            <v>USD</v>
          </cell>
          <cell r="E535">
            <v>1</v>
          </cell>
          <cell r="F535" t="str">
            <v>Долар США</v>
          </cell>
          <cell r="G535">
            <v>41.444600000000001</v>
          </cell>
        </row>
        <row r="536">
          <cell r="A536">
            <v>45636</v>
          </cell>
          <cell r="B536" t="str">
            <v>00.00</v>
          </cell>
          <cell r="C536">
            <v>840</v>
          </cell>
          <cell r="D536" t="str">
            <v>USD</v>
          </cell>
          <cell r="E536">
            <v>1</v>
          </cell>
          <cell r="F536" t="str">
            <v>Долар США</v>
          </cell>
          <cell r="G536">
            <v>41.509300000000003</v>
          </cell>
        </row>
        <row r="537">
          <cell r="A537">
            <v>45637</v>
          </cell>
          <cell r="B537" t="str">
            <v>00.00</v>
          </cell>
          <cell r="C537">
            <v>840</v>
          </cell>
          <cell r="D537" t="str">
            <v>USD</v>
          </cell>
          <cell r="E537">
            <v>1</v>
          </cell>
          <cell r="F537" t="str">
            <v>Долар США</v>
          </cell>
          <cell r="G537">
            <v>41.611899999999999</v>
          </cell>
        </row>
        <row r="538">
          <cell r="A538">
            <v>45638</v>
          </cell>
          <cell r="B538" t="str">
            <v>00.00</v>
          </cell>
          <cell r="C538">
            <v>840</v>
          </cell>
          <cell r="D538" t="str">
            <v>USD</v>
          </cell>
          <cell r="E538">
            <v>1</v>
          </cell>
          <cell r="F538" t="str">
            <v>Долар США</v>
          </cell>
          <cell r="G538">
            <v>41.694099999999999</v>
          </cell>
        </row>
        <row r="539">
          <cell r="A539">
            <v>45639</v>
          </cell>
          <cell r="B539" t="str">
            <v>00.00</v>
          </cell>
          <cell r="C539">
            <v>840</v>
          </cell>
          <cell r="D539" t="str">
            <v>USD</v>
          </cell>
          <cell r="E539">
            <v>1</v>
          </cell>
          <cell r="F539" t="str">
            <v>Долар США</v>
          </cell>
          <cell r="G539">
            <v>41.658799999999999</v>
          </cell>
        </row>
        <row r="540">
          <cell r="A540">
            <v>45640</v>
          </cell>
          <cell r="B540" t="str">
            <v>00.00</v>
          </cell>
          <cell r="C540">
            <v>840</v>
          </cell>
          <cell r="D540" t="str">
            <v>USD</v>
          </cell>
          <cell r="E540">
            <v>1</v>
          </cell>
          <cell r="F540" t="str">
            <v>Долар США</v>
          </cell>
          <cell r="G540">
            <v>41.658799999999999</v>
          </cell>
        </row>
        <row r="541">
          <cell r="A541">
            <v>45641</v>
          </cell>
          <cell r="B541" t="str">
            <v>00.00</v>
          </cell>
          <cell r="C541">
            <v>840</v>
          </cell>
          <cell r="D541" t="str">
            <v>USD</v>
          </cell>
          <cell r="E541">
            <v>1</v>
          </cell>
          <cell r="F541" t="str">
            <v>Долар США</v>
          </cell>
          <cell r="G541">
            <v>41.658799999999999</v>
          </cell>
        </row>
        <row r="542">
          <cell r="A542">
            <v>45642</v>
          </cell>
          <cell r="B542" t="str">
            <v>00.00</v>
          </cell>
          <cell r="C542">
            <v>840</v>
          </cell>
          <cell r="D542" t="str">
            <v>USD</v>
          </cell>
          <cell r="E542">
            <v>1</v>
          </cell>
          <cell r="F542" t="str">
            <v>Долар США</v>
          </cell>
          <cell r="G542">
            <v>41.606999999999999</v>
          </cell>
        </row>
        <row r="543">
          <cell r="A543">
            <v>45643</v>
          </cell>
          <cell r="B543" t="str">
            <v>00.00</v>
          </cell>
          <cell r="C543">
            <v>840</v>
          </cell>
          <cell r="D543" t="str">
            <v>USD</v>
          </cell>
          <cell r="E543">
            <v>1</v>
          </cell>
          <cell r="F543" t="str">
            <v>Долар США</v>
          </cell>
          <cell r="G543">
            <v>41.740299999999998</v>
          </cell>
        </row>
        <row r="544">
          <cell r="A544">
            <v>45644</v>
          </cell>
          <cell r="B544" t="str">
            <v>00.00</v>
          </cell>
          <cell r="C544">
            <v>840</v>
          </cell>
          <cell r="D544" t="str">
            <v>USD</v>
          </cell>
          <cell r="E544">
            <v>1</v>
          </cell>
          <cell r="F544" t="str">
            <v>Долар США</v>
          </cell>
          <cell r="G544">
            <v>41.827100000000002</v>
          </cell>
        </row>
        <row r="545">
          <cell r="A545">
            <v>45645</v>
          </cell>
          <cell r="B545" t="str">
            <v>00.00</v>
          </cell>
          <cell r="C545">
            <v>840</v>
          </cell>
          <cell r="D545" t="str">
            <v>USD</v>
          </cell>
          <cell r="E545">
            <v>1</v>
          </cell>
          <cell r="F545" t="str">
            <v>Долар США</v>
          </cell>
          <cell r="G545">
            <v>41.904800000000002</v>
          </cell>
        </row>
        <row r="546">
          <cell r="A546">
            <v>45646</v>
          </cell>
          <cell r="B546" t="str">
            <v>00.00</v>
          </cell>
          <cell r="C546">
            <v>840</v>
          </cell>
          <cell r="D546" t="str">
            <v>USD</v>
          </cell>
          <cell r="E546">
            <v>1</v>
          </cell>
          <cell r="F546" t="str">
            <v>Долар США</v>
          </cell>
          <cell r="G546">
            <v>41.929200000000002</v>
          </cell>
        </row>
        <row r="547">
          <cell r="A547">
            <v>45647</v>
          </cell>
          <cell r="B547" t="str">
            <v>00.00</v>
          </cell>
          <cell r="C547">
            <v>840</v>
          </cell>
          <cell r="D547" t="str">
            <v>USD</v>
          </cell>
          <cell r="E547">
            <v>1</v>
          </cell>
          <cell r="F547" t="str">
            <v>Долар США</v>
          </cell>
          <cell r="G547">
            <v>41.929200000000002</v>
          </cell>
        </row>
        <row r="548">
          <cell r="A548">
            <v>45648</v>
          </cell>
          <cell r="B548" t="str">
            <v>00.00</v>
          </cell>
          <cell r="C548">
            <v>840</v>
          </cell>
          <cell r="D548" t="str">
            <v>USD</v>
          </cell>
          <cell r="E548">
            <v>1</v>
          </cell>
          <cell r="F548" t="str">
            <v>Долар США</v>
          </cell>
          <cell r="G548">
            <v>41.929200000000002</v>
          </cell>
        </row>
        <row r="549">
          <cell r="A549">
            <v>45649</v>
          </cell>
          <cell r="B549" t="str">
            <v>00.00</v>
          </cell>
          <cell r="C549">
            <v>840</v>
          </cell>
          <cell r="D549" t="str">
            <v>USD</v>
          </cell>
          <cell r="E549">
            <v>1</v>
          </cell>
          <cell r="F549" t="str">
            <v>Долар США</v>
          </cell>
          <cell r="G549">
            <v>41.876100000000001</v>
          </cell>
        </row>
        <row r="550">
          <cell r="A550">
            <v>45650</v>
          </cell>
          <cell r="B550" t="str">
            <v>00.00</v>
          </cell>
          <cell r="C550">
            <v>840</v>
          </cell>
          <cell r="D550" t="str">
            <v>USD</v>
          </cell>
          <cell r="E550">
            <v>1</v>
          </cell>
          <cell r="F550" t="str">
            <v>Долар США</v>
          </cell>
          <cell r="G550">
            <v>41.991</v>
          </cell>
        </row>
        <row r="551">
          <cell r="A551">
            <v>45651</v>
          </cell>
          <cell r="B551" t="str">
            <v>00.00</v>
          </cell>
          <cell r="C551">
            <v>840</v>
          </cell>
          <cell r="D551" t="str">
            <v>USD</v>
          </cell>
          <cell r="E551">
            <v>1</v>
          </cell>
          <cell r="F551" t="str">
            <v>Долар США</v>
          </cell>
          <cell r="G551">
            <v>41.987499999999997</v>
          </cell>
        </row>
        <row r="552">
          <cell r="A552">
            <v>45652</v>
          </cell>
          <cell r="B552" t="str">
            <v>00.00</v>
          </cell>
          <cell r="C552">
            <v>840</v>
          </cell>
          <cell r="D552" t="str">
            <v>USD</v>
          </cell>
          <cell r="E552">
            <v>1</v>
          </cell>
          <cell r="F552" t="str">
            <v>Долар США</v>
          </cell>
          <cell r="G552">
            <v>41.862299999999998</v>
          </cell>
        </row>
        <row r="553">
          <cell r="A553">
            <v>45653</v>
          </cell>
          <cell r="B553" t="str">
            <v>00.00</v>
          </cell>
          <cell r="C553">
            <v>840</v>
          </cell>
          <cell r="D553" t="str">
            <v>USD</v>
          </cell>
          <cell r="E553">
            <v>1</v>
          </cell>
          <cell r="F553" t="str">
            <v>Долар США</v>
          </cell>
          <cell r="G553">
            <v>41.844700000000003</v>
          </cell>
        </row>
        <row r="554">
          <cell r="A554">
            <v>45654</v>
          </cell>
          <cell r="B554" t="str">
            <v>00.00</v>
          </cell>
          <cell r="C554">
            <v>840</v>
          </cell>
          <cell r="D554" t="str">
            <v>USD</v>
          </cell>
          <cell r="E554">
            <v>1</v>
          </cell>
          <cell r="F554" t="str">
            <v>Долар США</v>
          </cell>
          <cell r="G554">
            <v>41.844700000000003</v>
          </cell>
        </row>
        <row r="555">
          <cell r="A555">
            <v>45655</v>
          </cell>
          <cell r="B555" t="str">
            <v>00.00</v>
          </cell>
          <cell r="C555">
            <v>840</v>
          </cell>
          <cell r="D555" t="str">
            <v>USD</v>
          </cell>
          <cell r="E555">
            <v>1</v>
          </cell>
          <cell r="F555" t="str">
            <v>Долар США</v>
          </cell>
          <cell r="G555">
            <v>41.844700000000003</v>
          </cell>
        </row>
        <row r="556">
          <cell r="A556">
            <v>45656</v>
          </cell>
          <cell r="B556" t="str">
            <v>00.00</v>
          </cell>
          <cell r="C556">
            <v>840</v>
          </cell>
          <cell r="D556" t="str">
            <v>USD</v>
          </cell>
          <cell r="E556">
            <v>1</v>
          </cell>
          <cell r="F556" t="str">
            <v>Долар США</v>
          </cell>
          <cell r="G556">
            <v>41.940300000000001</v>
          </cell>
        </row>
        <row r="557">
          <cell r="A557">
            <v>45657</v>
          </cell>
          <cell r="B557" t="str">
            <v>00.00</v>
          </cell>
          <cell r="C557">
            <v>840</v>
          </cell>
          <cell r="D557" t="str">
            <v>USD</v>
          </cell>
          <cell r="E557">
            <v>1</v>
          </cell>
          <cell r="F557" t="str">
            <v>Долар США</v>
          </cell>
          <cell r="G557">
            <v>42.039000000000001</v>
          </cell>
        </row>
        <row r="558">
          <cell r="A558">
            <v>45658</v>
          </cell>
          <cell r="B558" t="str">
            <v>00.00</v>
          </cell>
          <cell r="C558">
            <v>840</v>
          </cell>
          <cell r="D558" t="str">
            <v>USD</v>
          </cell>
          <cell r="E558">
            <v>1</v>
          </cell>
          <cell r="F558" t="str">
            <v>Долар США</v>
          </cell>
          <cell r="G558">
            <v>42.029499999999999</v>
          </cell>
        </row>
        <row r="559">
          <cell r="A559">
            <v>45659</v>
          </cell>
          <cell r="B559" t="str">
            <v>00.00</v>
          </cell>
          <cell r="C559">
            <v>840</v>
          </cell>
          <cell r="D559" t="str">
            <v>USD</v>
          </cell>
          <cell r="E559">
            <v>1</v>
          </cell>
          <cell r="F559" t="str">
            <v>Долар США</v>
          </cell>
          <cell r="G559">
            <v>41.972499999999997</v>
          </cell>
        </row>
        <row r="560">
          <cell r="A560">
            <v>45660</v>
          </cell>
          <cell r="B560" t="str">
            <v>00.00</v>
          </cell>
          <cell r="C560">
            <v>840</v>
          </cell>
          <cell r="D560" t="str">
            <v>USD</v>
          </cell>
          <cell r="E560">
            <v>1</v>
          </cell>
          <cell r="F560" t="str">
            <v>Долар США</v>
          </cell>
          <cell r="G560">
            <v>42.038499999999999</v>
          </cell>
        </row>
        <row r="561">
          <cell r="A561">
            <v>45661</v>
          </cell>
          <cell r="B561" t="str">
            <v>00.00</v>
          </cell>
          <cell r="C561">
            <v>840</v>
          </cell>
          <cell r="D561" t="str">
            <v>USD</v>
          </cell>
          <cell r="E561">
            <v>1</v>
          </cell>
          <cell r="F561" t="str">
            <v>Долар США</v>
          </cell>
          <cell r="G561">
            <v>42.038499999999999</v>
          </cell>
        </row>
        <row r="562">
          <cell r="A562">
            <v>45662</v>
          </cell>
          <cell r="B562" t="str">
            <v>00.00</v>
          </cell>
          <cell r="C562">
            <v>840</v>
          </cell>
          <cell r="D562" t="str">
            <v>USD</v>
          </cell>
          <cell r="E562">
            <v>1</v>
          </cell>
          <cell r="F562" t="str">
            <v>Долар США</v>
          </cell>
          <cell r="G562">
            <v>42.038499999999999</v>
          </cell>
        </row>
        <row r="563">
          <cell r="A563">
            <v>45663</v>
          </cell>
          <cell r="B563" t="str">
            <v>00.00</v>
          </cell>
          <cell r="C563">
            <v>840</v>
          </cell>
          <cell r="D563" t="str">
            <v>USD</v>
          </cell>
          <cell r="E563">
            <v>1</v>
          </cell>
          <cell r="F563" t="str">
            <v>Долар США</v>
          </cell>
          <cell r="G563">
            <v>42.088900000000002</v>
          </cell>
        </row>
        <row r="564">
          <cell r="A564">
            <v>45664</v>
          </cell>
          <cell r="B564" t="str">
            <v>00.00</v>
          </cell>
          <cell r="C564">
            <v>840</v>
          </cell>
          <cell r="D564" t="str">
            <v>USD</v>
          </cell>
          <cell r="E564">
            <v>1</v>
          </cell>
          <cell r="F564" t="str">
            <v>Долар США</v>
          </cell>
          <cell r="G564">
            <v>42.195900000000002</v>
          </cell>
        </row>
        <row r="565">
          <cell r="A565">
            <v>45665</v>
          </cell>
          <cell r="B565" t="str">
            <v>00.00</v>
          </cell>
          <cell r="C565">
            <v>840</v>
          </cell>
          <cell r="D565" t="str">
            <v>USD</v>
          </cell>
          <cell r="E565">
            <v>1</v>
          </cell>
          <cell r="F565" t="str">
            <v>Долар США</v>
          </cell>
          <cell r="G565">
            <v>42.229700000000001</v>
          </cell>
        </row>
        <row r="566">
          <cell r="A566">
            <v>45666</v>
          </cell>
          <cell r="B566" t="str">
            <v>00.00</v>
          </cell>
          <cell r="C566">
            <v>840</v>
          </cell>
          <cell r="D566" t="str">
            <v>USD</v>
          </cell>
          <cell r="E566">
            <v>1</v>
          </cell>
          <cell r="F566" t="str">
            <v>Долар США</v>
          </cell>
          <cell r="G566">
            <v>42.2361</v>
          </cell>
        </row>
        <row r="567">
          <cell r="A567">
            <v>45667</v>
          </cell>
          <cell r="B567" t="str">
            <v>00.00</v>
          </cell>
          <cell r="C567">
            <v>840</v>
          </cell>
          <cell r="D567" t="str">
            <v>USD</v>
          </cell>
          <cell r="E567">
            <v>1</v>
          </cell>
          <cell r="F567" t="str">
            <v>Долар США</v>
          </cell>
          <cell r="G567">
            <v>42.282499999999999</v>
          </cell>
        </row>
        <row r="568">
          <cell r="A568">
            <v>45668</v>
          </cell>
          <cell r="B568" t="str">
            <v>00.00</v>
          </cell>
          <cell r="C568">
            <v>840</v>
          </cell>
          <cell r="D568" t="str">
            <v>USD</v>
          </cell>
          <cell r="E568">
            <v>1</v>
          </cell>
          <cell r="F568" t="str">
            <v>Долар США</v>
          </cell>
          <cell r="G568">
            <v>42.282499999999999</v>
          </cell>
        </row>
        <row r="569">
          <cell r="A569">
            <v>45669</v>
          </cell>
          <cell r="B569" t="str">
            <v>00.00</v>
          </cell>
          <cell r="C569">
            <v>840</v>
          </cell>
          <cell r="D569" t="str">
            <v>USD</v>
          </cell>
          <cell r="E569">
            <v>1</v>
          </cell>
          <cell r="F569" t="str">
            <v>Долар США</v>
          </cell>
          <cell r="G569">
            <v>42.282499999999999</v>
          </cell>
        </row>
        <row r="570">
          <cell r="A570">
            <v>45670</v>
          </cell>
          <cell r="B570" t="str">
            <v>00.00</v>
          </cell>
          <cell r="C570">
            <v>840</v>
          </cell>
          <cell r="D570" t="str">
            <v>USD</v>
          </cell>
          <cell r="E570">
            <v>1</v>
          </cell>
          <cell r="F570" t="str">
            <v>Долар США</v>
          </cell>
          <cell r="G570">
            <v>42.284100000000002</v>
          </cell>
        </row>
        <row r="571">
          <cell r="A571">
            <v>45671</v>
          </cell>
          <cell r="B571" t="str">
            <v>00.00</v>
          </cell>
          <cell r="C571">
            <v>840</v>
          </cell>
          <cell r="D571" t="str">
            <v>USD</v>
          </cell>
          <cell r="E571">
            <v>1</v>
          </cell>
          <cell r="F571" t="str">
            <v>Долар США</v>
          </cell>
          <cell r="G571">
            <v>42.269199999999998</v>
          </cell>
        </row>
        <row r="572">
          <cell r="A572">
            <v>45672</v>
          </cell>
          <cell r="B572" t="str">
            <v>00.00</v>
          </cell>
          <cell r="C572">
            <v>840</v>
          </cell>
          <cell r="D572" t="str">
            <v>USD</v>
          </cell>
          <cell r="E572">
            <v>1</v>
          </cell>
          <cell r="F572" t="str">
            <v>Долар США</v>
          </cell>
          <cell r="G572">
            <v>42.273400000000002</v>
          </cell>
        </row>
        <row r="573">
          <cell r="A573">
            <v>45673</v>
          </cell>
          <cell r="B573" t="str">
            <v>00.00</v>
          </cell>
          <cell r="C573">
            <v>840</v>
          </cell>
          <cell r="D573" t="str">
            <v>USD</v>
          </cell>
          <cell r="E573">
            <v>1</v>
          </cell>
          <cell r="F573" t="str">
            <v>Долар США</v>
          </cell>
          <cell r="G573">
            <v>42.265900000000002</v>
          </cell>
        </row>
        <row r="574">
          <cell r="A574">
            <v>45674</v>
          </cell>
          <cell r="B574" t="str">
            <v>00.00</v>
          </cell>
          <cell r="C574">
            <v>840</v>
          </cell>
          <cell r="D574" t="str">
            <v>USD</v>
          </cell>
          <cell r="E574">
            <v>1</v>
          </cell>
          <cell r="F574" t="str">
            <v>Долар США</v>
          </cell>
          <cell r="G574">
            <v>42.172899999999998</v>
          </cell>
        </row>
        <row r="575">
          <cell r="A575">
            <v>45675</v>
          </cell>
          <cell r="B575" t="str">
            <v>00.00</v>
          </cell>
          <cell r="C575">
            <v>840</v>
          </cell>
          <cell r="D575" t="str">
            <v>USD</v>
          </cell>
          <cell r="E575">
            <v>1</v>
          </cell>
          <cell r="F575" t="str">
            <v>Долар США</v>
          </cell>
          <cell r="G575">
            <v>42.172899999999998</v>
          </cell>
        </row>
        <row r="576">
          <cell r="A576">
            <v>45676</v>
          </cell>
          <cell r="B576" t="str">
            <v>00.00</v>
          </cell>
          <cell r="C576">
            <v>840</v>
          </cell>
          <cell r="D576" t="str">
            <v>USD</v>
          </cell>
          <cell r="E576">
            <v>1</v>
          </cell>
          <cell r="F576" t="str">
            <v>Долар США</v>
          </cell>
          <cell r="G576">
            <v>42.172899999999998</v>
          </cell>
        </row>
        <row r="577">
          <cell r="A577">
            <v>45677</v>
          </cell>
          <cell r="B577" t="str">
            <v>00.00</v>
          </cell>
          <cell r="C577">
            <v>840</v>
          </cell>
          <cell r="D577" t="str">
            <v>USD</v>
          </cell>
          <cell r="E577">
            <v>1</v>
          </cell>
          <cell r="F577" t="str">
            <v>Долар США</v>
          </cell>
          <cell r="G577">
            <v>42.125700000000002</v>
          </cell>
        </row>
        <row r="578">
          <cell r="A578">
            <v>45678</v>
          </cell>
          <cell r="B578" t="str">
            <v>00.00</v>
          </cell>
          <cell r="C578">
            <v>840</v>
          </cell>
          <cell r="D578" t="str">
            <v>USD</v>
          </cell>
          <cell r="E578">
            <v>1</v>
          </cell>
          <cell r="F578" t="str">
            <v>Долар США</v>
          </cell>
          <cell r="G578">
            <v>42.155099999999997</v>
          </cell>
        </row>
        <row r="579">
          <cell r="A579">
            <v>45679</v>
          </cell>
          <cell r="B579" t="str">
            <v>00.00</v>
          </cell>
          <cell r="C579">
            <v>840</v>
          </cell>
          <cell r="D579" t="str">
            <v>USD</v>
          </cell>
          <cell r="E579">
            <v>1</v>
          </cell>
          <cell r="F579" t="str">
            <v>Долар США</v>
          </cell>
          <cell r="G579">
            <v>42.1661</v>
          </cell>
        </row>
        <row r="580">
          <cell r="A580">
            <v>45680</v>
          </cell>
          <cell r="B580" t="str">
            <v>00.00</v>
          </cell>
          <cell r="C580">
            <v>840</v>
          </cell>
          <cell r="D580" t="str">
            <v>USD</v>
          </cell>
          <cell r="E580">
            <v>1</v>
          </cell>
          <cell r="F580" t="str">
            <v>Долар США</v>
          </cell>
          <cell r="G580">
            <v>42.032499999999999</v>
          </cell>
        </row>
        <row r="581">
          <cell r="A581">
            <v>45681</v>
          </cell>
          <cell r="B581" t="str">
            <v>00.00</v>
          </cell>
          <cell r="C581">
            <v>840</v>
          </cell>
          <cell r="D581" t="str">
            <v>USD</v>
          </cell>
          <cell r="E581">
            <v>1</v>
          </cell>
          <cell r="F581" t="str">
            <v>Долар США</v>
          </cell>
          <cell r="G581">
            <v>41.975099999999998</v>
          </cell>
        </row>
        <row r="582">
          <cell r="A582">
            <v>45682</v>
          </cell>
          <cell r="B582" t="str">
            <v>00.00</v>
          </cell>
          <cell r="C582">
            <v>840</v>
          </cell>
          <cell r="D582" t="str">
            <v>USD</v>
          </cell>
          <cell r="E582">
            <v>1</v>
          </cell>
          <cell r="F582" t="str">
            <v>Долар США</v>
          </cell>
          <cell r="G582">
            <v>41.975099999999998</v>
          </cell>
        </row>
        <row r="583">
          <cell r="A583">
            <v>45683</v>
          </cell>
          <cell r="B583" t="str">
            <v>00.00</v>
          </cell>
          <cell r="C583">
            <v>840</v>
          </cell>
          <cell r="D583" t="str">
            <v>USD</v>
          </cell>
          <cell r="E583">
            <v>1</v>
          </cell>
          <cell r="F583" t="str">
            <v>Долар США</v>
          </cell>
          <cell r="G583">
            <v>41.975099999999998</v>
          </cell>
        </row>
        <row r="584">
          <cell r="A584">
            <v>45684</v>
          </cell>
          <cell r="B584" t="str">
            <v>00.00</v>
          </cell>
          <cell r="C584">
            <v>840</v>
          </cell>
          <cell r="D584" t="str">
            <v>USD</v>
          </cell>
          <cell r="E584">
            <v>1</v>
          </cell>
          <cell r="F584" t="str">
            <v>Долар США</v>
          </cell>
          <cell r="G584">
            <v>41.9253</v>
          </cell>
        </row>
        <row r="585">
          <cell r="A585">
            <v>45685</v>
          </cell>
          <cell r="B585" t="str">
            <v>00.00</v>
          </cell>
          <cell r="C585">
            <v>840</v>
          </cell>
          <cell r="D585" t="str">
            <v>USD</v>
          </cell>
          <cell r="E585">
            <v>1</v>
          </cell>
          <cell r="F585" t="str">
            <v>Долар США</v>
          </cell>
          <cell r="G585">
            <v>41.947899999999997</v>
          </cell>
        </row>
        <row r="586">
          <cell r="A586">
            <v>45686</v>
          </cell>
          <cell r="B586" t="str">
            <v>00.00</v>
          </cell>
          <cell r="C586">
            <v>840</v>
          </cell>
          <cell r="D586" t="str">
            <v>USD</v>
          </cell>
          <cell r="E586">
            <v>1</v>
          </cell>
          <cell r="F586" t="str">
            <v>Долар США</v>
          </cell>
          <cell r="G586">
            <v>42.019500000000001</v>
          </cell>
        </row>
        <row r="587">
          <cell r="A587">
            <v>45687</v>
          </cell>
          <cell r="B587" t="str">
            <v>00.00</v>
          </cell>
          <cell r="C587">
            <v>840</v>
          </cell>
          <cell r="D587" t="str">
            <v>USD</v>
          </cell>
          <cell r="E587">
            <v>1</v>
          </cell>
          <cell r="F587" t="str">
            <v>Долар США</v>
          </cell>
          <cell r="G587">
            <v>41.929400000000001</v>
          </cell>
        </row>
        <row r="588">
          <cell r="A588">
            <v>45688</v>
          </cell>
          <cell r="B588" t="str">
            <v>00.00</v>
          </cell>
          <cell r="C588">
            <v>840</v>
          </cell>
          <cell r="D588" t="str">
            <v>USD</v>
          </cell>
          <cell r="E588">
            <v>1</v>
          </cell>
          <cell r="F588" t="str">
            <v>Долар США</v>
          </cell>
          <cell r="G588">
            <v>41.824199999999998</v>
          </cell>
        </row>
        <row r="589">
          <cell r="A589">
            <v>45689</v>
          </cell>
          <cell r="B589" t="str">
            <v>00.00</v>
          </cell>
          <cell r="C589">
            <v>840</v>
          </cell>
          <cell r="D589" t="str">
            <v>USD</v>
          </cell>
          <cell r="E589">
            <v>1</v>
          </cell>
          <cell r="F589" t="str">
            <v>Долар США</v>
          </cell>
          <cell r="G589">
            <v>41.824199999999998</v>
          </cell>
        </row>
        <row r="590">
          <cell r="A590">
            <v>45690</v>
          </cell>
          <cell r="B590" t="str">
            <v>00.00</v>
          </cell>
          <cell r="C590">
            <v>840</v>
          </cell>
          <cell r="D590" t="str">
            <v>USD</v>
          </cell>
          <cell r="E590">
            <v>1</v>
          </cell>
          <cell r="F590" t="str">
            <v>Долар США</v>
          </cell>
          <cell r="G590">
            <v>41.824199999999998</v>
          </cell>
        </row>
        <row r="591">
          <cell r="A591">
            <v>45691</v>
          </cell>
          <cell r="B591" t="str">
            <v>00.00</v>
          </cell>
          <cell r="C591">
            <v>840</v>
          </cell>
          <cell r="D591" t="str">
            <v>USD</v>
          </cell>
          <cell r="E591">
            <v>1</v>
          </cell>
          <cell r="F591" t="str">
            <v>Долар США</v>
          </cell>
          <cell r="G591">
            <v>41.726300000000002</v>
          </cell>
        </row>
        <row r="592">
          <cell r="A592">
            <v>45692</v>
          </cell>
          <cell r="B592" t="str">
            <v>00.00</v>
          </cell>
          <cell r="C592">
            <v>840</v>
          </cell>
          <cell r="D592" t="str">
            <v>USD</v>
          </cell>
          <cell r="E592">
            <v>1</v>
          </cell>
          <cell r="F592" t="str">
            <v>Долар США</v>
          </cell>
          <cell r="G592">
            <v>41.790799999999997</v>
          </cell>
        </row>
        <row r="593">
          <cell r="A593">
            <v>45693</v>
          </cell>
          <cell r="B593" t="str">
            <v>00.00</v>
          </cell>
          <cell r="C593">
            <v>840</v>
          </cell>
          <cell r="D593" t="str">
            <v>USD</v>
          </cell>
          <cell r="E593">
            <v>1</v>
          </cell>
          <cell r="F593" t="str">
            <v>Долар США</v>
          </cell>
          <cell r="G593">
            <v>41.755800000000001</v>
          </cell>
        </row>
        <row r="594">
          <cell r="A594">
            <v>45694</v>
          </cell>
          <cell r="B594" t="str">
            <v>00.00</v>
          </cell>
          <cell r="C594">
            <v>840</v>
          </cell>
          <cell r="D594" t="str">
            <v>USD</v>
          </cell>
          <cell r="E594">
            <v>1</v>
          </cell>
          <cell r="F594" t="str">
            <v>Долар США</v>
          </cell>
          <cell r="G594">
            <v>41.6584</v>
          </cell>
        </row>
        <row r="595">
          <cell r="A595">
            <v>45695</v>
          </cell>
          <cell r="B595" t="str">
            <v>00.00</v>
          </cell>
          <cell r="C595">
            <v>840</v>
          </cell>
          <cell r="D595" t="str">
            <v>USD</v>
          </cell>
          <cell r="E595">
            <v>1</v>
          </cell>
          <cell r="F595" t="str">
            <v>Долар США</v>
          </cell>
          <cell r="G595">
            <v>41.489699999999999</v>
          </cell>
        </row>
        <row r="596">
          <cell r="A596">
            <v>45696</v>
          </cell>
          <cell r="B596" t="str">
            <v>00.00</v>
          </cell>
          <cell r="C596">
            <v>840</v>
          </cell>
          <cell r="D596" t="str">
            <v>USD</v>
          </cell>
          <cell r="E596">
            <v>1</v>
          </cell>
          <cell r="F596" t="str">
            <v>Долар США</v>
          </cell>
          <cell r="G596">
            <v>41.489699999999999</v>
          </cell>
        </row>
        <row r="597">
          <cell r="A597">
            <v>45697</v>
          </cell>
          <cell r="B597" t="str">
            <v>00.00</v>
          </cell>
          <cell r="C597">
            <v>840</v>
          </cell>
          <cell r="D597" t="str">
            <v>USD</v>
          </cell>
          <cell r="E597">
            <v>1</v>
          </cell>
          <cell r="F597" t="str">
            <v>Долар США</v>
          </cell>
          <cell r="G597">
            <v>41.489699999999999</v>
          </cell>
        </row>
        <row r="598">
          <cell r="A598">
            <v>45698</v>
          </cell>
          <cell r="B598" t="str">
            <v>00.00</v>
          </cell>
          <cell r="C598">
            <v>840</v>
          </cell>
          <cell r="D598" t="str">
            <v>USD</v>
          </cell>
          <cell r="E598">
            <v>1</v>
          </cell>
          <cell r="F598" t="str">
            <v>Долар США</v>
          </cell>
          <cell r="G598">
            <v>41.473300000000002</v>
          </cell>
        </row>
        <row r="599">
          <cell r="A599">
            <v>45699</v>
          </cell>
          <cell r="B599" t="str">
            <v>00.00</v>
          </cell>
          <cell r="C599">
            <v>840</v>
          </cell>
          <cell r="D599" t="str">
            <v>USD</v>
          </cell>
          <cell r="E599">
            <v>1</v>
          </cell>
          <cell r="F599" t="str">
            <v>Долар США</v>
          </cell>
          <cell r="G599">
            <v>41.593600000000002</v>
          </cell>
        </row>
        <row r="600">
          <cell r="A600">
            <v>45700</v>
          </cell>
          <cell r="B600" t="str">
            <v>00.00</v>
          </cell>
          <cell r="C600">
            <v>840</v>
          </cell>
          <cell r="D600" t="str">
            <v>USD</v>
          </cell>
          <cell r="E600">
            <v>1</v>
          </cell>
          <cell r="F600" t="str">
            <v>Долар США</v>
          </cell>
          <cell r="G600">
            <v>41.669600000000003</v>
          </cell>
        </row>
        <row r="601">
          <cell r="A601">
            <v>45701</v>
          </cell>
          <cell r="B601" t="str">
            <v>00.00</v>
          </cell>
          <cell r="C601">
            <v>840</v>
          </cell>
          <cell r="D601" t="str">
            <v>USD</v>
          </cell>
          <cell r="E601">
            <v>1</v>
          </cell>
          <cell r="F601" t="str">
            <v>Долар США</v>
          </cell>
          <cell r="G601">
            <v>41.792700000000004</v>
          </cell>
        </row>
        <row r="602">
          <cell r="A602">
            <v>45702</v>
          </cell>
          <cell r="B602" t="str">
            <v>00.00</v>
          </cell>
          <cell r="C602">
            <v>840</v>
          </cell>
          <cell r="D602" t="str">
            <v>USD</v>
          </cell>
          <cell r="E602">
            <v>1</v>
          </cell>
          <cell r="F602" t="str">
            <v>Долар США</v>
          </cell>
          <cell r="G602">
            <v>41.799599999999998</v>
          </cell>
        </row>
        <row r="603">
          <cell r="A603">
            <v>45703</v>
          </cell>
          <cell r="B603" t="str">
            <v>00.00</v>
          </cell>
          <cell r="C603">
            <v>840</v>
          </cell>
          <cell r="D603" t="str">
            <v>USD</v>
          </cell>
          <cell r="E603">
            <v>1</v>
          </cell>
          <cell r="F603" t="str">
            <v>Долар США</v>
          </cell>
          <cell r="G603">
            <v>41.799599999999998</v>
          </cell>
        </row>
        <row r="604">
          <cell r="A604">
            <v>45704</v>
          </cell>
          <cell r="B604" t="str">
            <v>00.00</v>
          </cell>
          <cell r="C604">
            <v>840</v>
          </cell>
          <cell r="D604" t="str">
            <v>USD</v>
          </cell>
          <cell r="E604">
            <v>1</v>
          </cell>
          <cell r="F604" t="str">
            <v>Долар США</v>
          </cell>
          <cell r="G604">
            <v>41.799599999999998</v>
          </cell>
        </row>
        <row r="605">
          <cell r="A605">
            <v>45705</v>
          </cell>
          <cell r="B605" t="str">
            <v>00.00</v>
          </cell>
          <cell r="C605">
            <v>840</v>
          </cell>
          <cell r="D605" t="str">
            <v>USD</v>
          </cell>
          <cell r="E605">
            <v>1</v>
          </cell>
          <cell r="F605" t="str">
            <v>Долар США</v>
          </cell>
          <cell r="G605">
            <v>41.629899999999999</v>
          </cell>
        </row>
        <row r="606">
          <cell r="A606">
            <v>45706</v>
          </cell>
          <cell r="B606" t="str">
            <v>00.00</v>
          </cell>
          <cell r="C606">
            <v>840</v>
          </cell>
          <cell r="D606" t="str">
            <v>USD</v>
          </cell>
          <cell r="E606">
            <v>1</v>
          </cell>
          <cell r="F606" t="str">
            <v>Долар США</v>
          </cell>
          <cell r="G606">
            <v>41.555399999999999</v>
          </cell>
        </row>
        <row r="607">
          <cell r="A607">
            <v>45707</v>
          </cell>
          <cell r="B607" t="str">
            <v>00.00</v>
          </cell>
          <cell r="C607">
            <v>840</v>
          </cell>
          <cell r="D607" t="str">
            <v>USD</v>
          </cell>
          <cell r="E607">
            <v>1</v>
          </cell>
          <cell r="F607" t="str">
            <v>Долар США</v>
          </cell>
          <cell r="G607">
            <v>41.570500000000003</v>
          </cell>
        </row>
        <row r="608">
          <cell r="A608">
            <v>45708</v>
          </cell>
          <cell r="B608" t="str">
            <v>00.00</v>
          </cell>
          <cell r="C608">
            <v>840</v>
          </cell>
          <cell r="D608" t="str">
            <v>USD</v>
          </cell>
          <cell r="E608">
            <v>1</v>
          </cell>
          <cell r="F608" t="str">
            <v>Долар США</v>
          </cell>
          <cell r="G608">
            <v>41.681399999999996</v>
          </cell>
        </row>
        <row r="609">
          <cell r="A609">
            <v>45709</v>
          </cell>
          <cell r="B609" t="str">
            <v>00.00</v>
          </cell>
          <cell r="C609">
            <v>840</v>
          </cell>
          <cell r="D609" t="str">
            <v>USD</v>
          </cell>
          <cell r="E609">
            <v>1</v>
          </cell>
          <cell r="F609" t="str">
            <v>Долар США</v>
          </cell>
          <cell r="G609">
            <v>41.7316</v>
          </cell>
        </row>
        <row r="610">
          <cell r="A610">
            <v>45710</v>
          </cell>
          <cell r="B610" t="str">
            <v>00.00</v>
          </cell>
          <cell r="C610">
            <v>840</v>
          </cell>
          <cell r="D610" t="str">
            <v>USD</v>
          </cell>
          <cell r="E610">
            <v>1</v>
          </cell>
          <cell r="F610" t="str">
            <v>Долар США</v>
          </cell>
          <cell r="G610">
            <v>41.7316</v>
          </cell>
        </row>
        <row r="611">
          <cell r="A611">
            <v>45711</v>
          </cell>
          <cell r="B611" t="str">
            <v>00.00</v>
          </cell>
          <cell r="C611">
            <v>840</v>
          </cell>
          <cell r="D611" t="str">
            <v>USD</v>
          </cell>
          <cell r="E611">
            <v>1</v>
          </cell>
          <cell r="F611" t="str">
            <v>Долар США</v>
          </cell>
          <cell r="G611">
            <v>41.7316</v>
          </cell>
        </row>
        <row r="612">
          <cell r="A612">
            <v>45712</v>
          </cell>
          <cell r="B612" t="str">
            <v>00.00</v>
          </cell>
          <cell r="C612">
            <v>840</v>
          </cell>
          <cell r="D612" t="str">
            <v>USD</v>
          </cell>
          <cell r="E612">
            <v>1</v>
          </cell>
          <cell r="F612" t="str">
            <v>Долар США</v>
          </cell>
          <cell r="G612">
            <v>41.591900000000003</v>
          </cell>
        </row>
        <row r="613">
          <cell r="A613">
            <v>45713</v>
          </cell>
          <cell r="B613" t="str">
            <v>00.00</v>
          </cell>
          <cell r="C613">
            <v>840</v>
          </cell>
          <cell r="D613" t="str">
            <v>USD</v>
          </cell>
          <cell r="E613">
            <v>1</v>
          </cell>
          <cell r="F613" t="str">
            <v>Долар США</v>
          </cell>
          <cell r="G613">
            <v>41.701500000000003</v>
          </cell>
        </row>
        <row r="614">
          <cell r="A614">
            <v>45714</v>
          </cell>
          <cell r="B614" t="str">
            <v>00.00</v>
          </cell>
          <cell r="C614">
            <v>840</v>
          </cell>
          <cell r="D614" t="str">
            <v>USD</v>
          </cell>
          <cell r="E614">
            <v>1</v>
          </cell>
          <cell r="F614" t="str">
            <v>Долар США</v>
          </cell>
          <cell r="G614">
            <v>41.735799999999998</v>
          </cell>
        </row>
        <row r="615">
          <cell r="A615">
            <v>45715</v>
          </cell>
          <cell r="B615" t="str">
            <v>00.00</v>
          </cell>
          <cell r="C615">
            <v>840</v>
          </cell>
          <cell r="D615" t="str">
            <v>USD</v>
          </cell>
          <cell r="E615">
            <v>1</v>
          </cell>
          <cell r="F615" t="str">
            <v>Долар США</v>
          </cell>
          <cell r="G615">
            <v>41.639000000000003</v>
          </cell>
        </row>
        <row r="616">
          <cell r="A616">
            <v>45716</v>
          </cell>
          <cell r="B616" t="str">
            <v>00.00</v>
          </cell>
          <cell r="C616">
            <v>840</v>
          </cell>
          <cell r="D616" t="str">
            <v>USD</v>
          </cell>
          <cell r="E616">
            <v>1</v>
          </cell>
          <cell r="F616" t="str">
            <v>Долар США</v>
          </cell>
          <cell r="G616">
            <v>41.514000000000003</v>
          </cell>
        </row>
        <row r="617">
          <cell r="A617">
            <v>45717</v>
          </cell>
          <cell r="B617" t="str">
            <v>00.00</v>
          </cell>
          <cell r="C617">
            <v>840</v>
          </cell>
          <cell r="D617" t="str">
            <v>USD</v>
          </cell>
          <cell r="E617">
            <v>1</v>
          </cell>
          <cell r="F617" t="str">
            <v>Долар США</v>
          </cell>
          <cell r="G617">
            <v>41.514000000000003</v>
          </cell>
        </row>
        <row r="618">
          <cell r="A618">
            <v>45718</v>
          </cell>
          <cell r="B618" t="str">
            <v>00.00</v>
          </cell>
          <cell r="C618">
            <v>840</v>
          </cell>
          <cell r="D618" t="str">
            <v>USD</v>
          </cell>
          <cell r="E618">
            <v>1</v>
          </cell>
          <cell r="F618" t="str">
            <v>Долар США</v>
          </cell>
          <cell r="G618">
            <v>41.514000000000003</v>
          </cell>
        </row>
        <row r="619">
          <cell r="A619">
            <v>45719</v>
          </cell>
          <cell r="B619" t="str">
            <v>00.00</v>
          </cell>
          <cell r="C619">
            <v>840</v>
          </cell>
          <cell r="D619" t="str">
            <v>USD</v>
          </cell>
          <cell r="E619">
            <v>1</v>
          </cell>
          <cell r="F619" t="str">
            <v>Долар США</v>
          </cell>
          <cell r="G619">
            <v>41.4313</v>
          </cell>
        </row>
        <row r="620">
          <cell r="A620">
            <v>45720</v>
          </cell>
          <cell r="B620" t="str">
            <v>00.00</v>
          </cell>
          <cell r="C620">
            <v>840</v>
          </cell>
          <cell r="D620" t="str">
            <v>USD</v>
          </cell>
          <cell r="E620">
            <v>1</v>
          </cell>
          <cell r="F620" t="str">
            <v>Долар США</v>
          </cell>
          <cell r="G620">
            <v>41.591099999999997</v>
          </cell>
        </row>
        <row r="621">
          <cell r="A621">
            <v>45721</v>
          </cell>
          <cell r="B621" t="str">
            <v>00.00</v>
          </cell>
          <cell r="C621">
            <v>840</v>
          </cell>
          <cell r="D621" t="str">
            <v>USD</v>
          </cell>
          <cell r="E621">
            <v>1</v>
          </cell>
          <cell r="F621" t="str">
            <v>Долар США</v>
          </cell>
          <cell r="G621">
            <v>41.578200000000002</v>
          </cell>
        </row>
        <row r="622">
          <cell r="A622">
            <v>45722</v>
          </cell>
          <cell r="B622" t="str">
            <v>00.00</v>
          </cell>
          <cell r="C622">
            <v>840</v>
          </cell>
          <cell r="D622" t="str">
            <v>USD</v>
          </cell>
          <cell r="E622">
            <v>1</v>
          </cell>
          <cell r="F622" t="str">
            <v>Долар США</v>
          </cell>
          <cell r="G622">
            <v>41.368000000000002</v>
          </cell>
        </row>
        <row r="623">
          <cell r="A623">
            <v>45723</v>
          </cell>
          <cell r="B623" t="str">
            <v>00.00</v>
          </cell>
          <cell r="C623">
            <v>840</v>
          </cell>
          <cell r="D623" t="str">
            <v>USD</v>
          </cell>
          <cell r="E623">
            <v>1</v>
          </cell>
          <cell r="F623" t="str">
            <v>Долар США</v>
          </cell>
          <cell r="G623">
            <v>41.2742</v>
          </cell>
        </row>
        <row r="624">
          <cell r="A624">
            <v>45724</v>
          </cell>
          <cell r="B624" t="str">
            <v>00.00</v>
          </cell>
          <cell r="C624">
            <v>840</v>
          </cell>
          <cell r="D624" t="str">
            <v>USD</v>
          </cell>
          <cell r="E624">
            <v>1</v>
          </cell>
          <cell r="F624" t="str">
            <v>Долар США</v>
          </cell>
          <cell r="G624">
            <v>41.2742</v>
          </cell>
        </row>
        <row r="625">
          <cell r="A625">
            <v>45725</v>
          </cell>
          <cell r="B625" t="str">
            <v>00.00</v>
          </cell>
          <cell r="C625">
            <v>840</v>
          </cell>
          <cell r="D625" t="str">
            <v>USD</v>
          </cell>
          <cell r="E625">
            <v>1</v>
          </cell>
          <cell r="F625" t="str">
            <v>Долар США</v>
          </cell>
          <cell r="G625">
            <v>41.2742</v>
          </cell>
        </row>
        <row r="626">
          <cell r="A626">
            <v>45726</v>
          </cell>
          <cell r="B626" t="str">
            <v>00.00</v>
          </cell>
          <cell r="C626">
            <v>840</v>
          </cell>
          <cell r="D626" t="str">
            <v>USD</v>
          </cell>
          <cell r="E626">
            <v>1</v>
          </cell>
          <cell r="F626" t="str">
            <v>Долар США</v>
          </cell>
          <cell r="G626">
            <v>41.212699999999998</v>
          </cell>
        </row>
        <row r="627">
          <cell r="A627">
            <v>45727</v>
          </cell>
          <cell r="B627" t="str">
            <v>00.00</v>
          </cell>
          <cell r="C627">
            <v>840</v>
          </cell>
          <cell r="D627" t="str">
            <v>USD</v>
          </cell>
          <cell r="E627">
            <v>1</v>
          </cell>
          <cell r="F627" t="str">
            <v>Долар США</v>
          </cell>
          <cell r="G627">
            <v>41.286999999999999</v>
          </cell>
        </row>
        <row r="628">
          <cell r="A628">
            <v>45728</v>
          </cell>
          <cell r="B628" t="str">
            <v>00.00</v>
          </cell>
          <cell r="C628">
            <v>840</v>
          </cell>
          <cell r="D628" t="str">
            <v>USD</v>
          </cell>
          <cell r="E628">
            <v>1</v>
          </cell>
          <cell r="F628" t="str">
            <v>Долар США</v>
          </cell>
          <cell r="G628">
            <v>41.412399999999998</v>
          </cell>
        </row>
        <row r="629">
          <cell r="A629">
            <v>45729</v>
          </cell>
          <cell r="B629" t="str">
            <v>00.00</v>
          </cell>
          <cell r="C629">
            <v>840</v>
          </cell>
          <cell r="D629" t="str">
            <v>USD</v>
          </cell>
          <cell r="E629">
            <v>1</v>
          </cell>
          <cell r="F629" t="str">
            <v>Долар США</v>
          </cell>
          <cell r="G629">
            <v>41.507599999999996</v>
          </cell>
        </row>
        <row r="630">
          <cell r="A630">
            <v>45730</v>
          </cell>
          <cell r="B630" t="str">
            <v>00.00</v>
          </cell>
          <cell r="C630">
            <v>840</v>
          </cell>
          <cell r="D630" t="str">
            <v>USD</v>
          </cell>
          <cell r="E630">
            <v>1</v>
          </cell>
          <cell r="F630" t="str">
            <v>Долар США</v>
          </cell>
          <cell r="G630">
            <v>41.527000000000001</v>
          </cell>
        </row>
        <row r="631">
          <cell r="A631">
            <v>45731</v>
          </cell>
          <cell r="B631" t="str">
            <v>00.00</v>
          </cell>
          <cell r="C631">
            <v>840</v>
          </cell>
          <cell r="D631" t="str">
            <v>USD</v>
          </cell>
          <cell r="E631">
            <v>1</v>
          </cell>
          <cell r="F631" t="str">
            <v>Долар США</v>
          </cell>
          <cell r="G631">
            <v>41.527000000000001</v>
          </cell>
        </row>
        <row r="632">
          <cell r="A632">
            <v>45732</v>
          </cell>
          <cell r="B632" t="str">
            <v>00.00</v>
          </cell>
          <cell r="C632">
            <v>840</v>
          </cell>
          <cell r="D632" t="str">
            <v>USD</v>
          </cell>
          <cell r="E632">
            <v>1</v>
          </cell>
          <cell r="F632" t="str">
            <v>Долар США</v>
          </cell>
          <cell r="G632">
            <v>41.527000000000001</v>
          </cell>
        </row>
        <row r="633">
          <cell r="A633">
            <v>45733</v>
          </cell>
          <cell r="B633" t="str">
            <v>00.00</v>
          </cell>
          <cell r="C633">
            <v>840</v>
          </cell>
          <cell r="D633" t="str">
            <v>USD</v>
          </cell>
          <cell r="E633">
            <v>1</v>
          </cell>
          <cell r="F633" t="str">
            <v>Долар США</v>
          </cell>
          <cell r="G633">
            <v>41.509799999999998</v>
          </cell>
        </row>
        <row r="634">
          <cell r="A634">
            <v>45734</v>
          </cell>
          <cell r="B634" t="str">
            <v>00.00</v>
          </cell>
          <cell r="C634">
            <v>840</v>
          </cell>
          <cell r="D634" t="str">
            <v>USD</v>
          </cell>
          <cell r="E634">
            <v>1</v>
          </cell>
          <cell r="F634" t="str">
            <v>Долар США</v>
          </cell>
          <cell r="G634">
            <v>41.439500000000002</v>
          </cell>
        </row>
        <row r="635">
          <cell r="A635">
            <v>45735</v>
          </cell>
          <cell r="B635" t="str">
            <v>00.00</v>
          </cell>
          <cell r="C635">
            <v>840</v>
          </cell>
          <cell r="D635" t="str">
            <v>USD</v>
          </cell>
          <cell r="E635">
            <v>1</v>
          </cell>
          <cell r="F635" t="str">
            <v>Долар США</v>
          </cell>
          <cell r="G635">
            <v>41.565800000000003</v>
          </cell>
        </row>
        <row r="636">
          <cell r="A636">
            <v>45736</v>
          </cell>
          <cell r="B636" t="str">
            <v>00.00</v>
          </cell>
          <cell r="C636">
            <v>840</v>
          </cell>
          <cell r="D636" t="str">
            <v>USD</v>
          </cell>
          <cell r="E636">
            <v>1</v>
          </cell>
          <cell r="F636" t="str">
            <v>Долар США</v>
          </cell>
          <cell r="G636">
            <v>41.573</v>
          </cell>
        </row>
        <row r="637">
          <cell r="A637">
            <v>45737</v>
          </cell>
          <cell r="B637" t="str">
            <v>00.00</v>
          </cell>
          <cell r="C637">
            <v>840</v>
          </cell>
          <cell r="D637" t="str">
            <v>USD</v>
          </cell>
          <cell r="E637">
            <v>1</v>
          </cell>
          <cell r="F637" t="str">
            <v>Долар США</v>
          </cell>
          <cell r="G637">
            <v>41.540999999999997</v>
          </cell>
        </row>
        <row r="638">
          <cell r="A638">
            <v>45738</v>
          </cell>
          <cell r="B638" t="str">
            <v>00.00</v>
          </cell>
          <cell r="C638">
            <v>840</v>
          </cell>
          <cell r="D638" t="str">
            <v>USD</v>
          </cell>
          <cell r="E638">
            <v>1</v>
          </cell>
          <cell r="F638" t="str">
            <v>Долар США</v>
          </cell>
          <cell r="G638">
            <v>41.540999999999997</v>
          </cell>
        </row>
        <row r="639">
          <cell r="A639">
            <v>45739</v>
          </cell>
          <cell r="B639" t="str">
            <v>00.00</v>
          </cell>
          <cell r="C639">
            <v>840</v>
          </cell>
          <cell r="D639" t="str">
            <v>USD</v>
          </cell>
          <cell r="E639">
            <v>1</v>
          </cell>
          <cell r="F639" t="str">
            <v>Долар США</v>
          </cell>
          <cell r="G639">
            <v>41.540999999999997</v>
          </cell>
        </row>
        <row r="640">
          <cell r="A640">
            <v>45740</v>
          </cell>
          <cell r="B640" t="str">
            <v>00.00</v>
          </cell>
          <cell r="C640">
            <v>840</v>
          </cell>
          <cell r="D640" t="str">
            <v>USD</v>
          </cell>
          <cell r="E640">
            <v>1</v>
          </cell>
          <cell r="F640" t="str">
            <v>Долар США</v>
          </cell>
          <cell r="G640">
            <v>41.527700000000003</v>
          </cell>
        </row>
        <row r="641">
          <cell r="A641">
            <v>45741</v>
          </cell>
          <cell r="B641" t="str">
            <v>00.00</v>
          </cell>
          <cell r="C641">
            <v>840</v>
          </cell>
          <cell r="D641" t="str">
            <v>USD</v>
          </cell>
          <cell r="E641">
            <v>1</v>
          </cell>
          <cell r="F641" t="str">
            <v>Долар США</v>
          </cell>
          <cell r="G641">
            <v>41.644599999999997</v>
          </cell>
        </row>
        <row r="642">
          <cell r="A642">
            <v>45742</v>
          </cell>
          <cell r="B642" t="str">
            <v>00.00</v>
          </cell>
          <cell r="C642">
            <v>840</v>
          </cell>
          <cell r="D642" t="str">
            <v>USD</v>
          </cell>
          <cell r="E642">
            <v>1</v>
          </cell>
          <cell r="F642" t="str">
            <v>Долар США</v>
          </cell>
          <cell r="G642">
            <v>41.694899999999997</v>
          </cell>
        </row>
        <row r="643">
          <cell r="A643">
            <v>45743</v>
          </cell>
          <cell r="B643" t="str">
            <v>00.00</v>
          </cell>
          <cell r="C643">
            <v>840</v>
          </cell>
          <cell r="D643" t="str">
            <v>USD</v>
          </cell>
          <cell r="E643">
            <v>1</v>
          </cell>
          <cell r="F643" t="str">
            <v>Долар США</v>
          </cell>
          <cell r="G643">
            <v>41.564399999999999</v>
          </cell>
        </row>
        <row r="644">
          <cell r="A644">
            <v>45744</v>
          </cell>
          <cell r="B644" t="str">
            <v>00.00</v>
          </cell>
          <cell r="C644">
            <v>840</v>
          </cell>
          <cell r="D644" t="str">
            <v>USD</v>
          </cell>
          <cell r="E644">
            <v>1</v>
          </cell>
          <cell r="F644" t="str">
            <v>Долар США</v>
          </cell>
          <cell r="G644">
            <v>41.4863</v>
          </cell>
        </row>
        <row r="645">
          <cell r="A645">
            <v>45745</v>
          </cell>
          <cell r="B645" t="str">
            <v>00.00</v>
          </cell>
          <cell r="C645">
            <v>840</v>
          </cell>
          <cell r="D645" t="str">
            <v>USD</v>
          </cell>
          <cell r="E645">
            <v>1</v>
          </cell>
          <cell r="F645" t="str">
            <v>Долар США</v>
          </cell>
          <cell r="G645">
            <v>41.4863</v>
          </cell>
        </row>
        <row r="646">
          <cell r="A646">
            <v>45746</v>
          </cell>
          <cell r="B646" t="str">
            <v>00.00</v>
          </cell>
          <cell r="C646">
            <v>840</v>
          </cell>
          <cell r="D646" t="str">
            <v>USD</v>
          </cell>
          <cell r="E646">
            <v>1</v>
          </cell>
          <cell r="F646" t="str">
            <v>Долар США</v>
          </cell>
          <cell r="G646">
            <v>41.4863</v>
          </cell>
        </row>
        <row r="647">
          <cell r="A647">
            <v>45747</v>
          </cell>
          <cell r="B647" t="str">
            <v>00.00</v>
          </cell>
          <cell r="C647">
            <v>840</v>
          </cell>
          <cell r="D647" t="str">
            <v>USD</v>
          </cell>
          <cell r="E647">
            <v>1</v>
          </cell>
          <cell r="F647" t="str">
            <v>Долар США</v>
          </cell>
          <cell r="G647">
            <v>41.478700000000003</v>
          </cell>
        </row>
        <row r="648">
          <cell r="A648">
            <v>45748</v>
          </cell>
          <cell r="B648" t="str">
            <v>00.00</v>
          </cell>
          <cell r="C648">
            <v>840</v>
          </cell>
          <cell r="D648" t="str">
            <v>USD</v>
          </cell>
          <cell r="E648">
            <v>1</v>
          </cell>
          <cell r="F648" t="str">
            <v>Долар США</v>
          </cell>
          <cell r="G648">
            <v>41.422800000000002</v>
          </cell>
        </row>
        <row r="649">
          <cell r="A649">
            <v>45749</v>
          </cell>
          <cell r="B649" t="str">
            <v>00.00</v>
          </cell>
          <cell r="C649">
            <v>840</v>
          </cell>
          <cell r="D649" t="str">
            <v>USD</v>
          </cell>
          <cell r="E649">
            <v>1</v>
          </cell>
          <cell r="F649" t="str">
            <v>Долар США</v>
          </cell>
          <cell r="G649">
            <v>41.372999999999998</v>
          </cell>
        </row>
        <row r="650">
          <cell r="A650">
            <v>45750</v>
          </cell>
          <cell r="B650" t="str">
            <v>00.00</v>
          </cell>
          <cell r="C650">
            <v>840</v>
          </cell>
          <cell r="D650" t="str">
            <v>USD</v>
          </cell>
          <cell r="E650">
            <v>1</v>
          </cell>
          <cell r="F650" t="str">
            <v>Долар США</v>
          </cell>
          <cell r="G650">
            <v>41.316200000000002</v>
          </cell>
        </row>
        <row r="651">
          <cell r="A651">
            <v>45751</v>
          </cell>
          <cell r="B651" t="str">
            <v>00.00</v>
          </cell>
          <cell r="C651">
            <v>840</v>
          </cell>
          <cell r="D651" t="str">
            <v>USD</v>
          </cell>
          <cell r="E651">
            <v>1</v>
          </cell>
          <cell r="F651" t="str">
            <v>Долар США</v>
          </cell>
          <cell r="G651">
            <v>41.342599999999997</v>
          </cell>
        </row>
        <row r="652">
          <cell r="A652">
            <v>45752</v>
          </cell>
          <cell r="B652" t="str">
            <v>00.00</v>
          </cell>
          <cell r="C652">
            <v>840</v>
          </cell>
          <cell r="D652" t="str">
            <v>USD</v>
          </cell>
          <cell r="E652">
            <v>1</v>
          </cell>
          <cell r="F652" t="str">
            <v>Долар США</v>
          </cell>
          <cell r="G652">
            <v>41.342599999999997</v>
          </cell>
        </row>
        <row r="653">
          <cell r="A653">
            <v>45753</v>
          </cell>
          <cell r="B653" t="str">
            <v>00.00</v>
          </cell>
          <cell r="C653">
            <v>840</v>
          </cell>
          <cell r="D653" t="str">
            <v>USD</v>
          </cell>
          <cell r="E653">
            <v>1</v>
          </cell>
          <cell r="F653" t="str">
            <v>Долар США</v>
          </cell>
          <cell r="G653">
            <v>41.342599999999997</v>
          </cell>
        </row>
        <row r="654">
          <cell r="A654">
            <v>45754</v>
          </cell>
          <cell r="B654" t="str">
            <v>00.00</v>
          </cell>
          <cell r="C654">
            <v>840</v>
          </cell>
          <cell r="D654" t="str">
            <v>USD</v>
          </cell>
          <cell r="E654">
            <v>1</v>
          </cell>
          <cell r="F654" t="str">
            <v>Долар США</v>
          </cell>
          <cell r="G654">
            <v>41.194099999999999</v>
          </cell>
        </row>
        <row r="655">
          <cell r="A655">
            <v>45755</v>
          </cell>
          <cell r="B655" t="str">
            <v>00.00</v>
          </cell>
          <cell r="C655">
            <v>840</v>
          </cell>
          <cell r="D655" t="str">
            <v>USD</v>
          </cell>
          <cell r="E655">
            <v>1</v>
          </cell>
          <cell r="F655" t="str">
            <v>Долар США</v>
          </cell>
          <cell r="G655">
            <v>41.0807</v>
          </cell>
        </row>
        <row r="656">
          <cell r="A656">
            <v>45756</v>
          </cell>
          <cell r="B656" t="str">
            <v>00.00</v>
          </cell>
          <cell r="C656">
            <v>840</v>
          </cell>
          <cell r="D656" t="str">
            <v>USD</v>
          </cell>
          <cell r="E656">
            <v>1</v>
          </cell>
          <cell r="F656" t="str">
            <v>Долар США</v>
          </cell>
          <cell r="G656">
            <v>41.173999999999999</v>
          </cell>
        </row>
        <row r="657">
          <cell r="A657">
            <v>45757</v>
          </cell>
          <cell r="B657" t="str">
            <v>00.00</v>
          </cell>
          <cell r="C657">
            <v>840</v>
          </cell>
          <cell r="D657" t="str">
            <v>USD</v>
          </cell>
          <cell r="E657">
            <v>1</v>
          </cell>
          <cell r="F657" t="str">
            <v>Долар США</v>
          </cell>
          <cell r="G657">
            <v>41.275100000000002</v>
          </cell>
        </row>
        <row r="658">
          <cell r="A658">
            <v>45758</v>
          </cell>
          <cell r="B658" t="str">
            <v>00.00</v>
          </cell>
          <cell r="C658">
            <v>840</v>
          </cell>
          <cell r="D658" t="str">
            <v>USD</v>
          </cell>
          <cell r="E658">
            <v>1</v>
          </cell>
          <cell r="F658" t="str">
            <v>Долар США</v>
          </cell>
          <cell r="G658">
            <v>41.403100000000002</v>
          </cell>
        </row>
        <row r="659">
          <cell r="A659">
            <v>45759</v>
          </cell>
          <cell r="B659" t="str">
            <v>00.00</v>
          </cell>
          <cell r="C659">
            <v>840</v>
          </cell>
          <cell r="D659" t="str">
            <v>USD</v>
          </cell>
          <cell r="E659">
            <v>1</v>
          </cell>
          <cell r="F659" t="str">
            <v>Долар США</v>
          </cell>
          <cell r="G659">
            <v>41.403100000000002</v>
          </cell>
        </row>
        <row r="660">
          <cell r="A660">
            <v>45760</v>
          </cell>
          <cell r="B660" t="str">
            <v>00.00</v>
          </cell>
          <cell r="C660">
            <v>840</v>
          </cell>
          <cell r="D660" t="str">
            <v>USD</v>
          </cell>
          <cell r="E660">
            <v>1</v>
          </cell>
          <cell r="F660" t="str">
            <v>Долар США</v>
          </cell>
          <cell r="G660">
            <v>41.403100000000002</v>
          </cell>
        </row>
        <row r="661">
          <cell r="A661">
            <v>45761</v>
          </cell>
          <cell r="B661" t="str">
            <v>00.00</v>
          </cell>
          <cell r="C661">
            <v>840</v>
          </cell>
          <cell r="D661" t="str">
            <v>USD</v>
          </cell>
          <cell r="E661">
            <v>1</v>
          </cell>
          <cell r="F661" t="str">
            <v>Долар США</v>
          </cell>
          <cell r="G661">
            <v>41.387900000000002</v>
          </cell>
        </row>
        <row r="662">
          <cell r="A662">
            <v>45762</v>
          </cell>
          <cell r="B662" t="str">
            <v>00.00</v>
          </cell>
          <cell r="C662">
            <v>840</v>
          </cell>
          <cell r="D662" t="str">
            <v>USD</v>
          </cell>
          <cell r="E662">
            <v>1</v>
          </cell>
          <cell r="F662" t="str">
            <v>Долар США</v>
          </cell>
          <cell r="G662">
            <v>41.315300000000001</v>
          </cell>
        </row>
        <row r="663">
          <cell r="A663">
            <v>45763</v>
          </cell>
          <cell r="B663" t="str">
            <v>00.00</v>
          </cell>
          <cell r="C663">
            <v>840</v>
          </cell>
          <cell r="D663" t="str">
            <v>USD</v>
          </cell>
          <cell r="E663">
            <v>1</v>
          </cell>
          <cell r="F663" t="str">
            <v>Долар США</v>
          </cell>
          <cell r="G663">
            <v>41.1753</v>
          </cell>
        </row>
        <row r="664">
          <cell r="A664">
            <v>45764</v>
          </cell>
          <cell r="B664" t="str">
            <v>00.00</v>
          </cell>
          <cell r="C664">
            <v>840</v>
          </cell>
          <cell r="D664" t="str">
            <v>USD</v>
          </cell>
          <cell r="E664">
            <v>1</v>
          </cell>
          <cell r="F664" t="str">
            <v>Долар США</v>
          </cell>
          <cell r="G664">
            <v>41.215200000000003</v>
          </cell>
        </row>
        <row r="665">
          <cell r="A665">
            <v>45765</v>
          </cell>
          <cell r="B665" t="str">
            <v>00.00</v>
          </cell>
          <cell r="C665">
            <v>840</v>
          </cell>
          <cell r="D665" t="str">
            <v>USD</v>
          </cell>
          <cell r="E665">
            <v>1</v>
          </cell>
          <cell r="F665" t="str">
            <v>Долар США</v>
          </cell>
          <cell r="G665">
            <v>41.3825</v>
          </cell>
        </row>
        <row r="666">
          <cell r="A666">
            <v>45766</v>
          </cell>
          <cell r="B666" t="str">
            <v>00.00</v>
          </cell>
          <cell r="C666">
            <v>840</v>
          </cell>
          <cell r="D666" t="str">
            <v>USD</v>
          </cell>
          <cell r="E666">
            <v>1</v>
          </cell>
          <cell r="F666" t="str">
            <v>Долар США</v>
          </cell>
          <cell r="G666">
            <v>41.3825</v>
          </cell>
        </row>
        <row r="667">
          <cell r="A667">
            <v>45767</v>
          </cell>
          <cell r="B667" t="str">
            <v>00.00</v>
          </cell>
          <cell r="C667">
            <v>840</v>
          </cell>
          <cell r="D667" t="str">
            <v>USD</v>
          </cell>
          <cell r="E667">
            <v>1</v>
          </cell>
          <cell r="F667" t="str">
            <v>Долар США</v>
          </cell>
          <cell r="G667">
            <v>41.3825</v>
          </cell>
        </row>
        <row r="668">
          <cell r="A668">
            <v>45768</v>
          </cell>
          <cell r="B668" t="str">
            <v>00.00</v>
          </cell>
          <cell r="C668">
            <v>840</v>
          </cell>
          <cell r="D668" t="str">
            <v>USD</v>
          </cell>
          <cell r="E668">
            <v>1</v>
          </cell>
          <cell r="F668" t="str">
            <v>Долар США</v>
          </cell>
          <cell r="G668">
            <v>41.395499999999998</v>
          </cell>
        </row>
        <row r="669">
          <cell r="A669">
            <v>45769</v>
          </cell>
          <cell r="B669" t="str">
            <v>00.00</v>
          </cell>
          <cell r="C669">
            <v>840</v>
          </cell>
          <cell r="D669" t="str">
            <v>USD</v>
          </cell>
          <cell r="E669">
            <v>1</v>
          </cell>
          <cell r="F669" t="str">
            <v>Долар США</v>
          </cell>
          <cell r="G669">
            <v>41.378500000000003</v>
          </cell>
        </row>
        <row r="670">
          <cell r="A670">
            <v>45770</v>
          </cell>
          <cell r="B670" t="str">
            <v>00.00</v>
          </cell>
          <cell r="C670">
            <v>840</v>
          </cell>
          <cell r="D670" t="str">
            <v>USD</v>
          </cell>
          <cell r="E670">
            <v>1</v>
          </cell>
          <cell r="F670" t="str">
            <v>Долар США</v>
          </cell>
          <cell r="G670">
            <v>41.518500000000003</v>
          </cell>
        </row>
        <row r="671">
          <cell r="A671">
            <v>45771</v>
          </cell>
          <cell r="B671" t="str">
            <v>00.00</v>
          </cell>
          <cell r="C671">
            <v>840</v>
          </cell>
          <cell r="D671" t="str">
            <v>USD</v>
          </cell>
          <cell r="E671">
            <v>1</v>
          </cell>
          <cell r="F671" t="str">
            <v>Долар США</v>
          </cell>
          <cell r="G671">
            <v>41.670699999999997</v>
          </cell>
        </row>
        <row r="672">
          <cell r="A672">
            <v>45772</v>
          </cell>
          <cell r="B672" t="str">
            <v>00.00</v>
          </cell>
          <cell r="C672">
            <v>840</v>
          </cell>
          <cell r="D672" t="str">
            <v>USD</v>
          </cell>
          <cell r="E672">
            <v>1</v>
          </cell>
          <cell r="F672" t="str">
            <v>Долар США</v>
          </cell>
          <cell r="G672">
            <v>41.689</v>
          </cell>
        </row>
        <row r="673">
          <cell r="A673">
            <v>45773</v>
          </cell>
          <cell r="B673" t="str">
            <v>00.00</v>
          </cell>
          <cell r="C673">
            <v>840</v>
          </cell>
          <cell r="D673" t="str">
            <v>USD</v>
          </cell>
          <cell r="E673">
            <v>1</v>
          </cell>
          <cell r="F673" t="str">
            <v>Долар США</v>
          </cell>
          <cell r="G673">
            <v>41.689</v>
          </cell>
        </row>
        <row r="674">
          <cell r="A674">
            <v>45774</v>
          </cell>
          <cell r="B674" t="str">
            <v>00.00</v>
          </cell>
          <cell r="C674">
            <v>840</v>
          </cell>
          <cell r="D674" t="str">
            <v>USD</v>
          </cell>
          <cell r="E674">
            <v>1</v>
          </cell>
          <cell r="F674" t="str">
            <v>Долар США</v>
          </cell>
          <cell r="G674">
            <v>41.689</v>
          </cell>
        </row>
        <row r="675">
          <cell r="A675">
            <v>45775</v>
          </cell>
          <cell r="B675" t="str">
            <v>00.00</v>
          </cell>
          <cell r="C675">
            <v>840</v>
          </cell>
          <cell r="D675" t="str">
            <v>USD</v>
          </cell>
          <cell r="E675">
            <v>1</v>
          </cell>
          <cell r="F675" t="str">
            <v>Долар США</v>
          </cell>
          <cell r="G675">
            <v>41.751300000000001</v>
          </cell>
        </row>
        <row r="676">
          <cell r="A676">
            <v>45776</v>
          </cell>
          <cell r="B676" t="str">
            <v>00.00</v>
          </cell>
          <cell r="C676">
            <v>840</v>
          </cell>
          <cell r="D676" t="str">
            <v>USD</v>
          </cell>
          <cell r="E676">
            <v>1</v>
          </cell>
          <cell r="F676" t="str">
            <v>Долар США</v>
          </cell>
          <cell r="G676">
            <v>41.744100000000003</v>
          </cell>
        </row>
        <row r="677">
          <cell r="A677">
            <v>45777</v>
          </cell>
          <cell r="B677" t="str">
            <v>00.00</v>
          </cell>
          <cell r="C677">
            <v>840</v>
          </cell>
          <cell r="D677" t="str">
            <v>USD</v>
          </cell>
          <cell r="E677">
            <v>1</v>
          </cell>
          <cell r="F677" t="str">
            <v>Долар США</v>
          </cell>
          <cell r="G677">
            <v>41.564700000000002</v>
          </cell>
        </row>
        <row r="678">
          <cell r="A678">
            <v>45778</v>
          </cell>
          <cell r="B678" t="str">
            <v>00.00</v>
          </cell>
          <cell r="C678">
            <v>840</v>
          </cell>
          <cell r="D678" t="str">
            <v>USD</v>
          </cell>
          <cell r="E678">
            <v>1</v>
          </cell>
          <cell r="F678" t="str">
            <v>Долар США</v>
          </cell>
          <cell r="G678">
            <v>41.470599999999997</v>
          </cell>
        </row>
        <row r="679">
          <cell r="A679">
            <v>45779</v>
          </cell>
          <cell r="B679" t="str">
            <v>00.00</v>
          </cell>
          <cell r="C679">
            <v>840</v>
          </cell>
          <cell r="D679" t="str">
            <v>USD</v>
          </cell>
          <cell r="E679">
            <v>1</v>
          </cell>
          <cell r="F679" t="str">
            <v>Долар США</v>
          </cell>
          <cell r="G679">
            <v>41.594499999999996</v>
          </cell>
        </row>
        <row r="680">
          <cell r="A680">
            <v>45780</v>
          </cell>
          <cell r="B680" t="str">
            <v>00.00</v>
          </cell>
          <cell r="C680">
            <v>840</v>
          </cell>
          <cell r="D680" t="str">
            <v>USD</v>
          </cell>
          <cell r="E680">
            <v>1</v>
          </cell>
          <cell r="F680" t="str">
            <v>Долар США</v>
          </cell>
          <cell r="G680">
            <v>41.594499999999996</v>
          </cell>
        </row>
        <row r="681">
          <cell r="A681">
            <v>45781</v>
          </cell>
          <cell r="B681" t="str">
            <v>00.00</v>
          </cell>
          <cell r="C681">
            <v>840</v>
          </cell>
          <cell r="D681" t="str">
            <v>USD</v>
          </cell>
          <cell r="E681">
            <v>1</v>
          </cell>
          <cell r="F681" t="str">
            <v>Долар США</v>
          </cell>
          <cell r="G681">
            <v>41.594499999999996</v>
          </cell>
        </row>
        <row r="682">
          <cell r="A682">
            <v>45782</v>
          </cell>
          <cell r="B682" t="str">
            <v>00.00</v>
          </cell>
          <cell r="C682">
            <v>840</v>
          </cell>
          <cell r="D682" t="str">
            <v>USD</v>
          </cell>
          <cell r="E682">
            <v>1</v>
          </cell>
          <cell r="F682" t="str">
            <v>Долар США</v>
          </cell>
          <cell r="G682">
            <v>41.709099999999999</v>
          </cell>
        </row>
        <row r="683">
          <cell r="A683">
            <v>45783</v>
          </cell>
          <cell r="B683" t="str">
            <v>00.00</v>
          </cell>
          <cell r="C683">
            <v>840</v>
          </cell>
          <cell r="D683" t="str">
            <v>USD</v>
          </cell>
          <cell r="E683">
            <v>1</v>
          </cell>
          <cell r="F683" t="str">
            <v>Долар США</v>
          </cell>
          <cell r="G683">
            <v>41.6036</v>
          </cell>
        </row>
        <row r="684">
          <cell r="A684">
            <v>45784</v>
          </cell>
          <cell r="B684" t="str">
            <v>00.00</v>
          </cell>
          <cell r="C684">
            <v>840</v>
          </cell>
          <cell r="D684" t="str">
            <v>USD</v>
          </cell>
          <cell r="E684">
            <v>1</v>
          </cell>
          <cell r="F684" t="str">
            <v>Долар США</v>
          </cell>
          <cell r="G684">
            <v>41.4544</v>
          </cell>
        </row>
        <row r="685">
          <cell r="A685">
            <v>45785</v>
          </cell>
          <cell r="B685" t="str">
            <v>00.00</v>
          </cell>
          <cell r="C685">
            <v>840</v>
          </cell>
          <cell r="D685" t="str">
            <v>USD</v>
          </cell>
          <cell r="E685">
            <v>1</v>
          </cell>
          <cell r="F685" t="str">
            <v>Долар США</v>
          </cell>
          <cell r="G685">
            <v>41.438800000000001</v>
          </cell>
        </row>
        <row r="686">
          <cell r="A686">
            <v>45786</v>
          </cell>
          <cell r="B686" t="str">
            <v>00.00</v>
          </cell>
          <cell r="C686">
            <v>840</v>
          </cell>
          <cell r="D686" t="str">
            <v>USD</v>
          </cell>
          <cell r="E686">
            <v>1</v>
          </cell>
          <cell r="F686" t="str">
            <v>Долар США</v>
          </cell>
          <cell r="G686">
            <v>41.511299999999999</v>
          </cell>
        </row>
        <row r="687">
          <cell r="A687">
            <v>45787</v>
          </cell>
          <cell r="B687" t="str">
            <v>00.00</v>
          </cell>
          <cell r="C687">
            <v>840</v>
          </cell>
          <cell r="D687" t="str">
            <v>USD</v>
          </cell>
          <cell r="E687">
            <v>1</v>
          </cell>
          <cell r="F687" t="str">
            <v>Долар США</v>
          </cell>
          <cell r="G687">
            <v>41.511299999999999</v>
          </cell>
        </row>
        <row r="688">
          <cell r="A688">
            <v>45788</v>
          </cell>
          <cell r="B688" t="str">
            <v>00.00</v>
          </cell>
          <cell r="C688">
            <v>840</v>
          </cell>
          <cell r="D688" t="str">
            <v>USD</v>
          </cell>
          <cell r="E688">
            <v>1</v>
          </cell>
          <cell r="F688" t="str">
            <v>Долар США</v>
          </cell>
          <cell r="G688">
            <v>41.511299999999999</v>
          </cell>
        </row>
        <row r="689">
          <cell r="A689">
            <v>45789</v>
          </cell>
          <cell r="B689" t="str">
            <v>00.00</v>
          </cell>
          <cell r="C689">
            <v>840</v>
          </cell>
          <cell r="D689" t="str">
            <v>USD</v>
          </cell>
          <cell r="E689">
            <v>1</v>
          </cell>
          <cell r="F689" t="str">
            <v>Долар США</v>
          </cell>
          <cell r="G689">
            <v>41.546999999999997</v>
          </cell>
        </row>
        <row r="690">
          <cell r="A690">
            <v>45790</v>
          </cell>
          <cell r="B690" t="str">
            <v>00.00</v>
          </cell>
          <cell r="C690">
            <v>840</v>
          </cell>
          <cell r="D690" t="str">
            <v>USD</v>
          </cell>
          <cell r="E690">
            <v>1</v>
          </cell>
          <cell r="F690" t="str">
            <v>Долар США</v>
          </cell>
          <cell r="G690">
            <v>41.538699999999999</v>
          </cell>
        </row>
        <row r="691">
          <cell r="A691">
            <v>45791</v>
          </cell>
          <cell r="B691" t="str">
            <v>00.00</v>
          </cell>
          <cell r="C691">
            <v>840</v>
          </cell>
          <cell r="D691" t="str">
            <v>USD</v>
          </cell>
          <cell r="E691">
            <v>1</v>
          </cell>
          <cell r="F691" t="str">
            <v>Долар США</v>
          </cell>
          <cell r="G691">
            <v>41.500399999999999</v>
          </cell>
        </row>
        <row r="692">
          <cell r="A692">
            <v>45792</v>
          </cell>
          <cell r="B692" t="str">
            <v>00.00</v>
          </cell>
          <cell r="C692">
            <v>840</v>
          </cell>
          <cell r="D692" t="str">
            <v>USD</v>
          </cell>
          <cell r="E692">
            <v>1</v>
          </cell>
          <cell r="F692" t="str">
            <v>Долар США</v>
          </cell>
          <cell r="G692">
            <v>41.537599999999998</v>
          </cell>
        </row>
        <row r="693">
          <cell r="A693">
            <v>45793</v>
          </cell>
          <cell r="B693" t="str">
            <v>00.00</v>
          </cell>
          <cell r="C693">
            <v>840</v>
          </cell>
          <cell r="D693" t="str">
            <v>USD</v>
          </cell>
          <cell r="E693">
            <v>1</v>
          </cell>
          <cell r="F693" t="str">
            <v>Долар США</v>
          </cell>
          <cell r="G693">
            <v>41.4709</v>
          </cell>
        </row>
        <row r="694">
          <cell r="A694">
            <v>45794</v>
          </cell>
          <cell r="B694" t="str">
            <v>00.00</v>
          </cell>
          <cell r="C694">
            <v>840</v>
          </cell>
          <cell r="D694" t="str">
            <v>USD</v>
          </cell>
          <cell r="E694">
            <v>1</v>
          </cell>
          <cell r="F694" t="str">
            <v>Долар США</v>
          </cell>
          <cell r="G694">
            <v>41.4709</v>
          </cell>
        </row>
        <row r="695">
          <cell r="A695">
            <v>45795</v>
          </cell>
          <cell r="B695" t="str">
            <v>00.00</v>
          </cell>
          <cell r="C695">
            <v>840</v>
          </cell>
          <cell r="D695" t="str">
            <v>USD</v>
          </cell>
          <cell r="E695">
            <v>1</v>
          </cell>
          <cell r="F695" t="str">
            <v>Долар США</v>
          </cell>
          <cell r="G695">
            <v>41.4709</v>
          </cell>
        </row>
        <row r="696">
          <cell r="A696">
            <v>45796</v>
          </cell>
          <cell r="B696" t="str">
            <v>00.00</v>
          </cell>
          <cell r="C696">
            <v>840</v>
          </cell>
          <cell r="D696" t="str">
            <v>USD</v>
          </cell>
          <cell r="E696">
            <v>1</v>
          </cell>
          <cell r="F696" t="str">
            <v>Долар США</v>
          </cell>
          <cell r="G696">
            <v>41.4983</v>
          </cell>
        </row>
        <row r="697">
          <cell r="A697">
            <v>45797</v>
          </cell>
          <cell r="B697" t="str">
            <v>00.00</v>
          </cell>
          <cell r="C697">
            <v>840</v>
          </cell>
          <cell r="D697" t="str">
            <v>USD</v>
          </cell>
          <cell r="E697">
            <v>1</v>
          </cell>
          <cell r="F697" t="str">
            <v>Долар США</v>
          </cell>
          <cell r="G697">
            <v>41.576000000000001</v>
          </cell>
        </row>
        <row r="698">
          <cell r="A698">
            <v>45798</v>
          </cell>
          <cell r="B698" t="str">
            <v>00.00</v>
          </cell>
          <cell r="C698">
            <v>840</v>
          </cell>
          <cell r="D698" t="str">
            <v>USD</v>
          </cell>
          <cell r="E698">
            <v>1</v>
          </cell>
          <cell r="F698" t="str">
            <v>Долар США</v>
          </cell>
          <cell r="G698">
            <v>41.485100000000003</v>
          </cell>
        </row>
        <row r="699">
          <cell r="A699">
            <v>45799</v>
          </cell>
          <cell r="B699" t="str">
            <v>00.00</v>
          </cell>
          <cell r="C699">
            <v>840</v>
          </cell>
          <cell r="D699" t="str">
            <v>USD</v>
          </cell>
          <cell r="E699">
            <v>1</v>
          </cell>
          <cell r="F699" t="str">
            <v>Долар США</v>
          </cell>
          <cell r="G699">
            <v>41.436</v>
          </cell>
        </row>
        <row r="700">
          <cell r="A700">
            <v>45800</v>
          </cell>
          <cell r="B700" t="str">
            <v>00.00</v>
          </cell>
          <cell r="C700">
            <v>840</v>
          </cell>
          <cell r="D700" t="str">
            <v>USD</v>
          </cell>
          <cell r="E700">
            <v>1</v>
          </cell>
          <cell r="F700" t="str">
            <v>Долар США</v>
          </cell>
          <cell r="G700">
            <v>41.499899999999997</v>
          </cell>
        </row>
        <row r="701">
          <cell r="A701">
            <v>45801</v>
          </cell>
          <cell r="B701" t="str">
            <v>00.00</v>
          </cell>
          <cell r="C701">
            <v>840</v>
          </cell>
          <cell r="D701" t="str">
            <v>USD</v>
          </cell>
          <cell r="E701">
            <v>1</v>
          </cell>
          <cell r="F701" t="str">
            <v>Долар США</v>
          </cell>
          <cell r="G701">
            <v>41.499899999999997</v>
          </cell>
        </row>
        <row r="702">
          <cell r="A702">
            <v>45802</v>
          </cell>
          <cell r="B702" t="str">
            <v>00.00</v>
          </cell>
          <cell r="C702">
            <v>840</v>
          </cell>
          <cell r="D702" t="str">
            <v>USD</v>
          </cell>
          <cell r="E702">
            <v>1</v>
          </cell>
          <cell r="F702" t="str">
            <v>Долар США</v>
          </cell>
          <cell r="G702">
            <v>41.499899999999997</v>
          </cell>
        </row>
        <row r="703">
          <cell r="A703">
            <v>45803</v>
          </cell>
          <cell r="B703" t="str">
            <v>00.00</v>
          </cell>
          <cell r="C703">
            <v>840</v>
          </cell>
          <cell r="D703" t="str">
            <v>USD</v>
          </cell>
          <cell r="E703">
            <v>1</v>
          </cell>
          <cell r="F703" t="str">
            <v>Долар США</v>
          </cell>
          <cell r="G703">
            <v>41.509399999999999</v>
          </cell>
        </row>
        <row r="704">
          <cell r="A704">
            <v>45804</v>
          </cell>
          <cell r="B704" t="str">
            <v>00.00</v>
          </cell>
          <cell r="C704">
            <v>840</v>
          </cell>
          <cell r="D704" t="str">
            <v>USD</v>
          </cell>
          <cell r="E704">
            <v>1</v>
          </cell>
          <cell r="F704" t="str">
            <v>Долар США</v>
          </cell>
          <cell r="G704">
            <v>41.570700000000002</v>
          </cell>
        </row>
        <row r="705">
          <cell r="A705">
            <v>45805</v>
          </cell>
          <cell r="B705" t="str">
            <v>00.00</v>
          </cell>
          <cell r="C705">
            <v>840</v>
          </cell>
          <cell r="D705" t="str">
            <v>USD</v>
          </cell>
          <cell r="E705">
            <v>1</v>
          </cell>
          <cell r="F705" t="str">
            <v>Долар США</v>
          </cell>
          <cell r="G705">
            <v>41.675800000000002</v>
          </cell>
        </row>
        <row r="706">
          <cell r="A706">
            <v>45806</v>
          </cell>
          <cell r="B706" t="str">
            <v>00.00</v>
          </cell>
          <cell r="C706">
            <v>840</v>
          </cell>
          <cell r="D706" t="str">
            <v>USD</v>
          </cell>
          <cell r="E706">
            <v>1</v>
          </cell>
          <cell r="F706" t="str">
            <v>Долар США</v>
          </cell>
          <cell r="G706">
            <v>41.590299999999999</v>
          </cell>
        </row>
        <row r="707">
          <cell r="A707">
            <v>45807</v>
          </cell>
          <cell r="B707" t="str">
            <v>00.00</v>
          </cell>
          <cell r="C707">
            <v>840</v>
          </cell>
          <cell r="D707" t="str">
            <v>USD</v>
          </cell>
          <cell r="E707">
            <v>1</v>
          </cell>
          <cell r="F707" t="str">
            <v>Долар США</v>
          </cell>
          <cell r="G707">
            <v>41.528500000000001</v>
          </cell>
        </row>
        <row r="708">
          <cell r="A708">
            <v>45808</v>
          </cell>
          <cell r="B708" t="str">
            <v>00.00</v>
          </cell>
          <cell r="C708">
            <v>840</v>
          </cell>
          <cell r="D708" t="str">
            <v>USD</v>
          </cell>
          <cell r="E708">
            <v>1</v>
          </cell>
          <cell r="F708" t="str">
            <v>Долар США</v>
          </cell>
          <cell r="G708">
            <v>41.528500000000001</v>
          </cell>
        </row>
        <row r="709">
          <cell r="A709">
            <v>45809</v>
          </cell>
          <cell r="B709" t="str">
            <v>00.00</v>
          </cell>
          <cell r="C709">
            <v>840</v>
          </cell>
          <cell r="D709" t="str">
            <v>USD</v>
          </cell>
          <cell r="E709">
            <v>1</v>
          </cell>
          <cell r="F709" t="str">
            <v>Долар США</v>
          </cell>
          <cell r="G709">
            <v>41.528500000000001</v>
          </cell>
        </row>
        <row r="710">
          <cell r="A710">
            <v>45810</v>
          </cell>
          <cell r="B710" t="str">
            <v>00.00</v>
          </cell>
          <cell r="C710">
            <v>840</v>
          </cell>
          <cell r="D710" t="str">
            <v>USD</v>
          </cell>
          <cell r="E710">
            <v>1</v>
          </cell>
          <cell r="F710" t="str">
            <v>Долар США</v>
          </cell>
          <cell r="G710">
            <v>41.5261</v>
          </cell>
        </row>
        <row r="711">
          <cell r="A711">
            <v>45811</v>
          </cell>
          <cell r="B711" t="str">
            <v>00.00</v>
          </cell>
          <cell r="C711">
            <v>840</v>
          </cell>
          <cell r="D711" t="str">
            <v>USD</v>
          </cell>
          <cell r="E711">
            <v>1</v>
          </cell>
          <cell r="F711" t="str">
            <v>Долар США</v>
          </cell>
          <cell r="G711">
            <v>41.618400000000001</v>
          </cell>
        </row>
        <row r="712">
          <cell r="A712">
            <v>45812</v>
          </cell>
          <cell r="B712" t="str">
            <v>00.00</v>
          </cell>
          <cell r="C712">
            <v>840</v>
          </cell>
          <cell r="D712" t="str">
            <v>USD</v>
          </cell>
          <cell r="E712">
            <v>1</v>
          </cell>
          <cell r="F712" t="str">
            <v>Долар США</v>
          </cell>
          <cell r="G712">
            <v>41.638500000000001</v>
          </cell>
        </row>
        <row r="713">
          <cell r="A713">
            <v>45813</v>
          </cell>
          <cell r="B713" t="str">
            <v>00.00</v>
          </cell>
          <cell r="C713">
            <v>840</v>
          </cell>
          <cell r="D713" t="str">
            <v>USD</v>
          </cell>
          <cell r="E713">
            <v>1</v>
          </cell>
          <cell r="F713" t="str">
            <v>Долар США</v>
          </cell>
          <cell r="G713">
            <v>41.482900000000001</v>
          </cell>
        </row>
        <row r="714">
          <cell r="A714">
            <v>45814</v>
          </cell>
          <cell r="B714" t="str">
            <v>00.00</v>
          </cell>
          <cell r="C714">
            <v>840</v>
          </cell>
          <cell r="D714" t="str">
            <v>USD</v>
          </cell>
          <cell r="E714">
            <v>1</v>
          </cell>
          <cell r="F714" t="str">
            <v>Долар США</v>
          </cell>
          <cell r="G714">
            <v>41.471699999999998</v>
          </cell>
        </row>
        <row r="715">
          <cell r="A715">
            <v>45815</v>
          </cell>
          <cell r="B715" t="str">
            <v>00.00</v>
          </cell>
          <cell r="C715">
            <v>840</v>
          </cell>
          <cell r="D715" t="str">
            <v>USD</v>
          </cell>
          <cell r="E715">
            <v>1</v>
          </cell>
          <cell r="F715" t="str">
            <v>Долар США</v>
          </cell>
          <cell r="G715">
            <v>41.471699999999998</v>
          </cell>
        </row>
        <row r="716">
          <cell r="A716">
            <v>45816</v>
          </cell>
          <cell r="B716" t="str">
            <v>00.00</v>
          </cell>
          <cell r="C716">
            <v>840</v>
          </cell>
          <cell r="D716" t="str">
            <v>USD</v>
          </cell>
          <cell r="E716">
            <v>1</v>
          </cell>
          <cell r="F716" t="str">
            <v>Долар США</v>
          </cell>
          <cell r="G716">
            <v>41.471699999999998</v>
          </cell>
        </row>
        <row r="717">
          <cell r="A717">
            <v>45817</v>
          </cell>
          <cell r="B717" t="str">
            <v>00.00</v>
          </cell>
          <cell r="C717">
            <v>840</v>
          </cell>
          <cell r="D717" t="str">
            <v>USD</v>
          </cell>
          <cell r="E717">
            <v>1</v>
          </cell>
          <cell r="F717" t="str">
            <v>Долар США</v>
          </cell>
          <cell r="G717">
            <v>41.401800000000001</v>
          </cell>
        </row>
        <row r="718">
          <cell r="A718">
            <v>45818</v>
          </cell>
          <cell r="B718" t="str">
            <v>00.00</v>
          </cell>
          <cell r="C718">
            <v>840</v>
          </cell>
          <cell r="D718" t="str">
            <v>USD</v>
          </cell>
          <cell r="E718">
            <v>1</v>
          </cell>
          <cell r="F718" t="str">
            <v>Долар США</v>
          </cell>
          <cell r="G718">
            <v>41.491900000000001</v>
          </cell>
        </row>
        <row r="719">
          <cell r="A719">
            <v>45819</v>
          </cell>
          <cell r="B719" t="str">
            <v>00.00</v>
          </cell>
          <cell r="C719">
            <v>840</v>
          </cell>
          <cell r="D719" t="str">
            <v>USD</v>
          </cell>
          <cell r="E719">
            <v>1</v>
          </cell>
          <cell r="F719" t="str">
            <v>Долар США</v>
          </cell>
          <cell r="G719">
            <v>41.556600000000003</v>
          </cell>
        </row>
        <row r="720">
          <cell r="A720">
            <v>45820</v>
          </cell>
          <cell r="B720" t="str">
            <v>00.00</v>
          </cell>
          <cell r="C720">
            <v>840</v>
          </cell>
          <cell r="D720" t="str">
            <v>USD</v>
          </cell>
          <cell r="E720">
            <v>1</v>
          </cell>
          <cell r="F720" t="str">
            <v>Долар США</v>
          </cell>
          <cell r="G720">
            <v>41.511699999999998</v>
          </cell>
        </row>
        <row r="721">
          <cell r="A721">
            <v>45821</v>
          </cell>
          <cell r="B721" t="str">
            <v>00.00</v>
          </cell>
          <cell r="C721">
            <v>840</v>
          </cell>
          <cell r="D721" t="str">
            <v>USD</v>
          </cell>
          <cell r="E721">
            <v>1</v>
          </cell>
          <cell r="F721" t="str">
            <v>Долар США</v>
          </cell>
          <cell r="G721">
            <v>41.488</v>
          </cell>
        </row>
        <row r="722">
          <cell r="A722">
            <v>45822</v>
          </cell>
          <cell r="B722" t="str">
            <v>00.00</v>
          </cell>
          <cell r="C722">
            <v>840</v>
          </cell>
          <cell r="D722" t="str">
            <v>USD</v>
          </cell>
          <cell r="E722">
            <v>1</v>
          </cell>
          <cell r="F722" t="str">
            <v>Долар США</v>
          </cell>
          <cell r="G722">
            <v>41.488</v>
          </cell>
        </row>
        <row r="723">
          <cell r="A723">
            <v>45823</v>
          </cell>
          <cell r="B723" t="str">
            <v>00.00</v>
          </cell>
          <cell r="C723">
            <v>840</v>
          </cell>
          <cell r="D723" t="str">
            <v>USD</v>
          </cell>
          <cell r="E723">
            <v>1</v>
          </cell>
          <cell r="F723" t="str">
            <v>Долар США</v>
          </cell>
          <cell r="G723">
            <v>41.488</v>
          </cell>
        </row>
        <row r="724">
          <cell r="A724">
            <v>45824</v>
          </cell>
          <cell r="B724" t="str">
            <v>00.00</v>
          </cell>
          <cell r="C724">
            <v>840</v>
          </cell>
          <cell r="D724" t="str">
            <v>USD</v>
          </cell>
          <cell r="E724">
            <v>1</v>
          </cell>
          <cell r="F724" t="str">
            <v>Долар США</v>
          </cell>
          <cell r="G724">
            <v>41.446599999999997</v>
          </cell>
        </row>
        <row r="725">
          <cell r="A725">
            <v>45825</v>
          </cell>
          <cell r="B725" t="str">
            <v>00.00</v>
          </cell>
          <cell r="C725">
            <v>840</v>
          </cell>
          <cell r="D725" t="str">
            <v>USD</v>
          </cell>
          <cell r="E725">
            <v>1</v>
          </cell>
          <cell r="F725" t="str">
            <v>Долар США</v>
          </cell>
          <cell r="G725">
            <v>41.5306</v>
          </cell>
        </row>
        <row r="726">
          <cell r="A726">
            <v>45826</v>
          </cell>
          <cell r="B726" t="str">
            <v>00.00</v>
          </cell>
          <cell r="C726">
            <v>840</v>
          </cell>
          <cell r="D726" t="str">
            <v>USD</v>
          </cell>
          <cell r="E726">
            <v>1</v>
          </cell>
          <cell r="F726" t="str">
            <v>Долар США</v>
          </cell>
          <cell r="G726">
            <v>41.525500000000001</v>
          </cell>
        </row>
        <row r="727">
          <cell r="A727">
            <v>45827</v>
          </cell>
          <cell r="B727" t="str">
            <v>00.00</v>
          </cell>
          <cell r="C727">
            <v>840</v>
          </cell>
          <cell r="D727" t="str">
            <v>USD</v>
          </cell>
          <cell r="E727">
            <v>1</v>
          </cell>
          <cell r="F727" t="str">
            <v>Долар США</v>
          </cell>
          <cell r="G727">
            <v>41.629300000000001</v>
          </cell>
        </row>
        <row r="728">
          <cell r="A728">
            <v>45828</v>
          </cell>
          <cell r="B728" t="str">
            <v>00.00</v>
          </cell>
          <cell r="C728">
            <v>840</v>
          </cell>
          <cell r="D728" t="str">
            <v>USD</v>
          </cell>
          <cell r="E728">
            <v>1</v>
          </cell>
          <cell r="F728" t="str">
            <v>Долар США</v>
          </cell>
          <cell r="G728">
            <v>41.685400000000001</v>
          </cell>
        </row>
        <row r="729">
          <cell r="A729">
            <v>45829</v>
          </cell>
          <cell r="B729" t="str">
            <v>00.00</v>
          </cell>
          <cell r="C729">
            <v>840</v>
          </cell>
          <cell r="D729" t="str">
            <v>USD</v>
          </cell>
          <cell r="E729">
            <v>1</v>
          </cell>
          <cell r="F729" t="str">
            <v>Долар США</v>
          </cell>
          <cell r="G729">
            <v>41.685400000000001</v>
          </cell>
        </row>
        <row r="730">
          <cell r="A730">
            <v>45830</v>
          </cell>
          <cell r="B730" t="str">
            <v>00.00</v>
          </cell>
          <cell r="C730">
            <v>840</v>
          </cell>
          <cell r="D730" t="str">
            <v>USD</v>
          </cell>
          <cell r="E730">
            <v>1</v>
          </cell>
          <cell r="F730" t="str">
            <v>Долар США</v>
          </cell>
          <cell r="G730">
            <v>41.685400000000001</v>
          </cell>
        </row>
        <row r="731">
          <cell r="A731">
            <v>45831</v>
          </cell>
          <cell r="B731" t="str">
            <v>00.00</v>
          </cell>
          <cell r="C731">
            <v>840</v>
          </cell>
          <cell r="D731" t="str">
            <v>USD</v>
          </cell>
          <cell r="E731">
            <v>1</v>
          </cell>
          <cell r="F731" t="str">
            <v>Долар США</v>
          </cell>
          <cell r="G731">
            <v>41.833500000000001</v>
          </cell>
        </row>
        <row r="732">
          <cell r="A732">
            <v>45832</v>
          </cell>
          <cell r="B732" t="str">
            <v>00.00</v>
          </cell>
          <cell r="C732">
            <v>840</v>
          </cell>
          <cell r="D732" t="str">
            <v>USD</v>
          </cell>
          <cell r="E732">
            <v>1</v>
          </cell>
          <cell r="F732" t="str">
            <v>Долар США</v>
          </cell>
          <cell r="G732">
            <v>41.870199999999997</v>
          </cell>
        </row>
        <row r="733">
          <cell r="A733">
            <v>45833</v>
          </cell>
          <cell r="B733" t="str">
            <v>00.00</v>
          </cell>
          <cell r="C733">
            <v>840</v>
          </cell>
          <cell r="D733" t="str">
            <v>USD</v>
          </cell>
          <cell r="E733">
            <v>1</v>
          </cell>
          <cell r="F733" t="str">
            <v>Долар США</v>
          </cell>
          <cell r="G733">
            <v>41.792400000000001</v>
          </cell>
        </row>
        <row r="734">
          <cell r="A734">
            <v>45834</v>
          </cell>
          <cell r="B734" t="str">
            <v>00.00</v>
          </cell>
          <cell r="C734">
            <v>840</v>
          </cell>
          <cell r="D734" t="str">
            <v>USD</v>
          </cell>
          <cell r="E734">
            <v>1</v>
          </cell>
          <cell r="F734" t="str">
            <v>Долар США</v>
          </cell>
          <cell r="G734">
            <v>41.661999999999999</v>
          </cell>
        </row>
        <row r="735">
          <cell r="A735">
            <v>45835</v>
          </cell>
          <cell r="B735" t="str">
            <v>00.00</v>
          </cell>
          <cell r="C735">
            <v>840</v>
          </cell>
          <cell r="D735" t="str">
            <v>USD</v>
          </cell>
          <cell r="E735">
            <v>1</v>
          </cell>
          <cell r="F735" t="str">
            <v>Долар США</v>
          </cell>
          <cell r="G735">
            <v>41.5852</v>
          </cell>
        </row>
        <row r="736">
          <cell r="A736">
            <v>45836</v>
          </cell>
          <cell r="B736" t="str">
            <v>00.00</v>
          </cell>
          <cell r="C736">
            <v>840</v>
          </cell>
          <cell r="D736" t="str">
            <v>USD</v>
          </cell>
          <cell r="E736">
            <v>1</v>
          </cell>
          <cell r="F736" t="str">
            <v>Долар США</v>
          </cell>
          <cell r="G736">
            <v>41.5852</v>
          </cell>
        </row>
        <row r="737">
          <cell r="A737">
            <v>45837</v>
          </cell>
          <cell r="B737" t="str">
            <v>00.00</v>
          </cell>
          <cell r="C737">
            <v>840</v>
          </cell>
          <cell r="D737" t="str">
            <v>USD</v>
          </cell>
          <cell r="E737">
            <v>1</v>
          </cell>
          <cell r="F737" t="str">
            <v>Долар США</v>
          </cell>
          <cell r="G737">
            <v>41.5852</v>
          </cell>
        </row>
        <row r="738">
          <cell r="A738">
            <v>45838</v>
          </cell>
          <cell r="B738" t="str">
            <v>00.00</v>
          </cell>
          <cell r="C738">
            <v>840</v>
          </cell>
          <cell r="D738" t="str">
            <v>USD</v>
          </cell>
          <cell r="E738">
            <v>1</v>
          </cell>
          <cell r="F738" t="str">
            <v>Долар США</v>
          </cell>
          <cell r="G738">
            <v>41.640900000000002</v>
          </cell>
        </row>
        <row r="739">
          <cell r="A739">
            <v>45839</v>
          </cell>
          <cell r="B739" t="str">
            <v>00.00</v>
          </cell>
          <cell r="C739">
            <v>840</v>
          </cell>
          <cell r="D739" t="str">
            <v>USD</v>
          </cell>
          <cell r="E739">
            <v>1</v>
          </cell>
          <cell r="F739" t="str">
            <v>Долар США</v>
          </cell>
          <cell r="G739">
            <v>41.778799999999997</v>
          </cell>
        </row>
        <row r="740">
          <cell r="A740">
            <v>45840</v>
          </cell>
          <cell r="B740" t="str">
            <v>00.00</v>
          </cell>
          <cell r="C740">
            <v>840</v>
          </cell>
          <cell r="D740" t="str">
            <v>USD</v>
          </cell>
          <cell r="E740">
            <v>1</v>
          </cell>
          <cell r="F740" t="str">
            <v>Долар США</v>
          </cell>
          <cell r="G740">
            <v>41.819099999999999</v>
          </cell>
        </row>
        <row r="741">
          <cell r="A741">
            <v>45841</v>
          </cell>
          <cell r="B741" t="str">
            <v>00.00</v>
          </cell>
          <cell r="C741">
            <v>840</v>
          </cell>
          <cell r="D741" t="str">
            <v>USD</v>
          </cell>
          <cell r="E741">
            <v>1</v>
          </cell>
          <cell r="F741" t="str">
            <v>Долар США</v>
          </cell>
          <cell r="G741">
            <v>41.811599999999999</v>
          </cell>
        </row>
        <row r="742">
          <cell r="A742">
            <v>45842</v>
          </cell>
          <cell r="B742" t="str">
            <v>00.00</v>
          </cell>
          <cell r="C742">
            <v>840</v>
          </cell>
          <cell r="D742" t="str">
            <v>USD</v>
          </cell>
          <cell r="E742">
            <v>1</v>
          </cell>
          <cell r="F742" t="str">
            <v>Долар США</v>
          </cell>
          <cell r="G742">
            <v>41.7239</v>
          </cell>
        </row>
        <row r="743">
          <cell r="A743">
            <v>45843</v>
          </cell>
          <cell r="B743" t="str">
            <v>00.00</v>
          </cell>
          <cell r="C743">
            <v>840</v>
          </cell>
          <cell r="D743" t="str">
            <v>USD</v>
          </cell>
          <cell r="E743">
            <v>1</v>
          </cell>
          <cell r="F743" t="str">
            <v>Долар США</v>
          </cell>
          <cell r="G743">
            <v>41.7239</v>
          </cell>
        </row>
        <row r="744">
          <cell r="A744">
            <v>45844</v>
          </cell>
          <cell r="B744" t="str">
            <v>00.00</v>
          </cell>
          <cell r="C744">
            <v>840</v>
          </cell>
          <cell r="D744" t="str">
            <v>USD</v>
          </cell>
          <cell r="E744">
            <v>1</v>
          </cell>
          <cell r="F744" t="str">
            <v>Долар США</v>
          </cell>
          <cell r="G744">
            <v>41.7239</v>
          </cell>
        </row>
        <row r="745">
          <cell r="A745">
            <v>45845</v>
          </cell>
          <cell r="B745" t="str">
            <v>00.00</v>
          </cell>
          <cell r="C745">
            <v>840</v>
          </cell>
          <cell r="D745" t="str">
            <v>USD</v>
          </cell>
          <cell r="E745">
            <v>1</v>
          </cell>
          <cell r="F745" t="str">
            <v>Долар США</v>
          </cell>
          <cell r="G745">
            <v>41.734099999999998</v>
          </cell>
        </row>
        <row r="746">
          <cell r="A746">
            <v>45846</v>
          </cell>
          <cell r="B746" t="str">
            <v>00.00</v>
          </cell>
          <cell r="C746">
            <v>840</v>
          </cell>
          <cell r="D746" t="str">
            <v>USD</v>
          </cell>
          <cell r="E746">
            <v>1</v>
          </cell>
          <cell r="F746" t="str">
            <v>Долар США</v>
          </cell>
          <cell r="G746">
            <v>41.797499999999999</v>
          </cell>
        </row>
        <row r="747">
          <cell r="A747">
            <v>45847</v>
          </cell>
          <cell r="B747" t="str">
            <v>00.00</v>
          </cell>
          <cell r="C747">
            <v>840</v>
          </cell>
          <cell r="D747" t="str">
            <v>USD</v>
          </cell>
          <cell r="E747">
            <v>1</v>
          </cell>
          <cell r="F747" t="str">
            <v>Долар США</v>
          </cell>
          <cell r="G747">
            <v>41.846200000000003</v>
          </cell>
        </row>
        <row r="748">
          <cell r="A748">
            <v>45848</v>
          </cell>
          <cell r="B748" t="str">
            <v>00.00</v>
          </cell>
          <cell r="C748">
            <v>840</v>
          </cell>
          <cell r="D748" t="str">
            <v>USD</v>
          </cell>
          <cell r="E748">
            <v>1</v>
          </cell>
          <cell r="F748" t="str">
            <v>Долар США</v>
          </cell>
          <cell r="G748">
            <v>41.774500000000003</v>
          </cell>
        </row>
        <row r="749">
          <cell r="A749">
            <v>45849</v>
          </cell>
          <cell r="B749" t="str">
            <v>00.00</v>
          </cell>
          <cell r="C749">
            <v>840</v>
          </cell>
          <cell r="D749" t="str">
            <v>USD</v>
          </cell>
          <cell r="E749">
            <v>1</v>
          </cell>
          <cell r="F749" t="str">
            <v>Долар США</v>
          </cell>
          <cell r="G749">
            <v>41.8232</v>
          </cell>
        </row>
        <row r="750">
          <cell r="A750">
            <v>45850</v>
          </cell>
          <cell r="B750" t="str">
            <v>00.00</v>
          </cell>
          <cell r="C750">
            <v>840</v>
          </cell>
          <cell r="D750" t="str">
            <v>USD</v>
          </cell>
          <cell r="E750">
            <v>1</v>
          </cell>
          <cell r="F750" t="str">
            <v>Долар США</v>
          </cell>
          <cell r="G750">
            <v>41.8232</v>
          </cell>
        </row>
        <row r="751">
          <cell r="A751">
            <v>45851</v>
          </cell>
          <cell r="B751" t="str">
            <v>00.00</v>
          </cell>
          <cell r="C751">
            <v>840</v>
          </cell>
          <cell r="D751" t="str">
            <v>USD</v>
          </cell>
          <cell r="E751">
            <v>1</v>
          </cell>
          <cell r="F751" t="str">
            <v>Долар США</v>
          </cell>
          <cell r="G751">
            <v>41.8232</v>
          </cell>
        </row>
        <row r="752">
          <cell r="A752">
            <v>45852</v>
          </cell>
          <cell r="B752" t="str">
            <v>00.00</v>
          </cell>
          <cell r="C752">
            <v>840</v>
          </cell>
          <cell r="D752" t="str">
            <v>USD</v>
          </cell>
          <cell r="E752">
            <v>1</v>
          </cell>
          <cell r="F752" t="str">
            <v>Долар США</v>
          </cell>
          <cell r="G752">
            <v>41.784199999999998</v>
          </cell>
        </row>
        <row r="753">
          <cell r="A753">
            <v>45853</v>
          </cell>
          <cell r="B753" t="str">
            <v>00.00</v>
          </cell>
          <cell r="C753">
            <v>840</v>
          </cell>
          <cell r="D753" t="str">
            <v>USD</v>
          </cell>
          <cell r="E753">
            <v>1</v>
          </cell>
          <cell r="F753" t="str">
            <v>Долар США</v>
          </cell>
          <cell r="G753">
            <v>41.835500000000003</v>
          </cell>
        </row>
        <row r="754">
          <cell r="A754">
            <v>45854</v>
          </cell>
          <cell r="B754" t="str">
            <v>00.00</v>
          </cell>
          <cell r="C754">
            <v>840</v>
          </cell>
          <cell r="D754" t="str">
            <v>USD</v>
          </cell>
          <cell r="E754">
            <v>1</v>
          </cell>
          <cell r="F754" t="str">
            <v>Долар США</v>
          </cell>
          <cell r="G754">
            <v>41.821100000000001</v>
          </cell>
        </row>
        <row r="755">
          <cell r="A755">
            <v>45855</v>
          </cell>
          <cell r="B755" t="str">
            <v>00.00</v>
          </cell>
          <cell r="C755">
            <v>840</v>
          </cell>
          <cell r="D755" t="str">
            <v>USD</v>
          </cell>
          <cell r="E755">
            <v>1</v>
          </cell>
          <cell r="F755" t="str">
            <v>Долар США</v>
          </cell>
          <cell r="G755">
            <v>41.812899999999999</v>
          </cell>
        </row>
        <row r="756">
          <cell r="A756">
            <v>45856</v>
          </cell>
          <cell r="B756" t="str">
            <v>00.00</v>
          </cell>
          <cell r="C756">
            <v>840</v>
          </cell>
          <cell r="D756" t="str">
            <v>USD</v>
          </cell>
          <cell r="E756">
            <v>1</v>
          </cell>
          <cell r="F756" t="str">
            <v>Долар США</v>
          </cell>
          <cell r="G756">
            <v>41.866999999999997</v>
          </cell>
        </row>
        <row r="757">
          <cell r="A757">
            <v>45857</v>
          </cell>
          <cell r="B757" t="str">
            <v>00.00</v>
          </cell>
          <cell r="C757">
            <v>840</v>
          </cell>
          <cell r="D757" t="str">
            <v>USD</v>
          </cell>
          <cell r="E757">
            <v>1</v>
          </cell>
          <cell r="F757" t="str">
            <v>Долар США</v>
          </cell>
          <cell r="G757">
            <v>41.866999999999997</v>
          </cell>
        </row>
        <row r="758">
          <cell r="A758">
            <v>45858</v>
          </cell>
          <cell r="B758" t="str">
            <v>00.00</v>
          </cell>
          <cell r="C758">
            <v>840</v>
          </cell>
          <cell r="D758" t="str">
            <v>USD</v>
          </cell>
          <cell r="E758">
            <v>1</v>
          </cell>
          <cell r="F758" t="str">
            <v>Долар США</v>
          </cell>
          <cell r="G758">
            <v>41.866999999999997</v>
          </cell>
        </row>
        <row r="759">
          <cell r="A759">
            <v>45859</v>
          </cell>
          <cell r="B759" t="str">
            <v>00.00</v>
          </cell>
          <cell r="C759">
            <v>840</v>
          </cell>
          <cell r="D759" t="str">
            <v>USD</v>
          </cell>
          <cell r="E759">
            <v>1</v>
          </cell>
          <cell r="F759" t="str">
            <v>Долар США</v>
          </cell>
          <cell r="G759">
            <v>41.751399999999997</v>
          </cell>
        </row>
        <row r="760">
          <cell r="A760">
            <v>45860</v>
          </cell>
          <cell r="B760" t="str">
            <v>00.00</v>
          </cell>
          <cell r="C760">
            <v>840</v>
          </cell>
          <cell r="D760" t="str">
            <v>USD</v>
          </cell>
          <cell r="E760">
            <v>1</v>
          </cell>
          <cell r="F760" t="str">
            <v>Долар США</v>
          </cell>
          <cell r="G760">
            <v>41.819400000000002</v>
          </cell>
        </row>
        <row r="761">
          <cell r="A761">
            <v>45861</v>
          </cell>
          <cell r="B761" t="str">
            <v>00.00</v>
          </cell>
          <cell r="C761">
            <v>840</v>
          </cell>
          <cell r="D761" t="str">
            <v>USD</v>
          </cell>
          <cell r="E761">
            <v>1</v>
          </cell>
          <cell r="F761" t="str">
            <v>Долар США</v>
          </cell>
          <cell r="G761">
            <v>41.765300000000003</v>
          </cell>
        </row>
        <row r="762">
          <cell r="A762">
            <v>45862</v>
          </cell>
          <cell r="B762" t="str">
            <v>00.00</v>
          </cell>
          <cell r="C762">
            <v>840</v>
          </cell>
          <cell r="D762" t="str">
            <v>USD</v>
          </cell>
          <cell r="E762">
            <v>1</v>
          </cell>
          <cell r="F762" t="str">
            <v>Долар США</v>
          </cell>
          <cell r="G762">
            <v>41.765099999999997</v>
          </cell>
        </row>
        <row r="763">
          <cell r="A763">
            <v>45863</v>
          </cell>
          <cell r="B763" t="str">
            <v>00.00</v>
          </cell>
          <cell r="C763">
            <v>840</v>
          </cell>
          <cell r="D763" t="str">
            <v>USD</v>
          </cell>
          <cell r="E763">
            <v>1</v>
          </cell>
          <cell r="F763" t="str">
            <v>Долар США</v>
          </cell>
          <cell r="G763">
            <v>41.773800000000001</v>
          </cell>
        </row>
        <row r="764">
          <cell r="A764">
            <v>45864</v>
          </cell>
          <cell r="B764" t="str">
            <v>00.00</v>
          </cell>
          <cell r="C764">
            <v>840</v>
          </cell>
          <cell r="D764" t="str">
            <v>USD</v>
          </cell>
          <cell r="E764">
            <v>1</v>
          </cell>
          <cell r="F764" t="str">
            <v>Долар США</v>
          </cell>
          <cell r="G764">
            <v>41.773800000000001</v>
          </cell>
        </row>
        <row r="765">
          <cell r="A765">
            <v>45865</v>
          </cell>
          <cell r="B765" t="str">
            <v>00.00</v>
          </cell>
          <cell r="C765">
            <v>840</v>
          </cell>
          <cell r="D765" t="str">
            <v>USD</v>
          </cell>
          <cell r="E765">
            <v>1</v>
          </cell>
          <cell r="F765" t="str">
            <v>Долар США</v>
          </cell>
          <cell r="G765">
            <v>41.773800000000001</v>
          </cell>
        </row>
        <row r="766">
          <cell r="A766">
            <v>45866</v>
          </cell>
          <cell r="B766" t="str">
            <v>00.00</v>
          </cell>
          <cell r="C766">
            <v>840</v>
          </cell>
          <cell r="D766" t="str">
            <v>USD</v>
          </cell>
          <cell r="E766">
            <v>1</v>
          </cell>
          <cell r="F766" t="str">
            <v>Долар США</v>
          </cell>
          <cell r="G766">
            <v>41.782400000000003</v>
          </cell>
        </row>
        <row r="767">
          <cell r="A767">
            <v>45867</v>
          </cell>
          <cell r="B767" t="str">
            <v>00.00</v>
          </cell>
          <cell r="C767">
            <v>840</v>
          </cell>
          <cell r="D767" t="str">
            <v>USD</v>
          </cell>
          <cell r="E767">
            <v>1</v>
          </cell>
          <cell r="F767" t="str">
            <v>Долар США</v>
          </cell>
          <cell r="G767">
            <v>41.799700000000001</v>
          </cell>
        </row>
        <row r="768">
          <cell r="A768">
            <v>45868</v>
          </cell>
          <cell r="B768" t="str">
            <v>00.00</v>
          </cell>
          <cell r="C768">
            <v>840</v>
          </cell>
          <cell r="D768" t="str">
            <v>USD</v>
          </cell>
          <cell r="E768">
            <v>1</v>
          </cell>
          <cell r="F768" t="str">
            <v>Долар США</v>
          </cell>
          <cell r="G768">
            <v>41.788600000000002</v>
          </cell>
        </row>
        <row r="769">
          <cell r="A769">
            <v>45869</v>
          </cell>
          <cell r="B769" t="str">
            <v>00.00</v>
          </cell>
          <cell r="C769">
            <v>840</v>
          </cell>
          <cell r="D769" t="str">
            <v>USD</v>
          </cell>
          <cell r="E769">
            <v>1</v>
          </cell>
          <cell r="F769" t="str">
            <v>Долар США</v>
          </cell>
          <cell r="G769">
            <v>41.766199999999998</v>
          </cell>
        </row>
        <row r="770">
          <cell r="A770">
            <v>45870</v>
          </cell>
          <cell r="B770" t="str">
            <v>00.00</v>
          </cell>
          <cell r="C770">
            <v>840</v>
          </cell>
          <cell r="D770" t="str">
            <v>USD</v>
          </cell>
          <cell r="E770">
            <v>1</v>
          </cell>
          <cell r="F770" t="str">
            <v>Долар США</v>
          </cell>
          <cell r="G770">
            <v>41.713200000000001</v>
          </cell>
        </row>
        <row r="771">
          <cell r="A771">
            <v>45871</v>
          </cell>
          <cell r="B771" t="str">
            <v>00.00</v>
          </cell>
          <cell r="C771">
            <v>840</v>
          </cell>
          <cell r="D771" t="str">
            <v>USD</v>
          </cell>
          <cell r="E771">
            <v>1</v>
          </cell>
          <cell r="F771" t="str">
            <v>Долар США</v>
          </cell>
          <cell r="G771">
            <v>41.713200000000001</v>
          </cell>
        </row>
        <row r="772">
          <cell r="A772">
            <v>45872</v>
          </cell>
          <cell r="B772" t="str">
            <v>00.00</v>
          </cell>
          <cell r="C772">
            <v>840</v>
          </cell>
          <cell r="D772" t="str">
            <v>USD</v>
          </cell>
          <cell r="E772">
            <v>1</v>
          </cell>
          <cell r="F772" t="str">
            <v>Долар США</v>
          </cell>
          <cell r="G772">
            <v>41.713200000000001</v>
          </cell>
        </row>
        <row r="773">
          <cell r="A773">
            <v>45873</v>
          </cell>
          <cell r="B773" t="str">
            <v>00.00</v>
          </cell>
          <cell r="C773">
            <v>840</v>
          </cell>
          <cell r="D773" t="str">
            <v>USD</v>
          </cell>
          <cell r="E773">
            <v>1</v>
          </cell>
          <cell r="F773" t="str">
            <v>Долар США</v>
          </cell>
          <cell r="G773">
            <v>41.764400000000002</v>
          </cell>
        </row>
        <row r="774">
          <cell r="A774">
            <v>45874</v>
          </cell>
          <cell r="B774" t="str">
            <v>00.00</v>
          </cell>
          <cell r="C774">
            <v>840</v>
          </cell>
          <cell r="D774" t="str">
            <v>USD</v>
          </cell>
          <cell r="E774">
            <v>1</v>
          </cell>
          <cell r="F774" t="str">
            <v>Долар США</v>
          </cell>
          <cell r="G774">
            <v>41.790100000000002</v>
          </cell>
        </row>
        <row r="775">
          <cell r="A775">
            <v>45875</v>
          </cell>
          <cell r="B775" t="str">
            <v>00.00</v>
          </cell>
          <cell r="C775">
            <v>840</v>
          </cell>
          <cell r="D775" t="str">
            <v>USD</v>
          </cell>
          <cell r="E775">
            <v>1</v>
          </cell>
          <cell r="F775" t="str">
            <v>Долар США</v>
          </cell>
          <cell r="G775">
            <v>41.6845</v>
          </cell>
        </row>
        <row r="776">
          <cell r="A776">
            <v>45876</v>
          </cell>
          <cell r="B776" t="str">
            <v>00.00</v>
          </cell>
          <cell r="C776">
            <v>840</v>
          </cell>
          <cell r="D776" t="str">
            <v>USD</v>
          </cell>
          <cell r="E776">
            <v>1</v>
          </cell>
          <cell r="F776" t="str">
            <v>Долар США</v>
          </cell>
          <cell r="G776">
            <v>41.610999999999997</v>
          </cell>
        </row>
        <row r="777">
          <cell r="A777">
            <v>45877</v>
          </cell>
          <cell r="B777" t="str">
            <v>00.00</v>
          </cell>
          <cell r="C777">
            <v>840</v>
          </cell>
          <cell r="D777" t="str">
            <v>USD</v>
          </cell>
          <cell r="E777">
            <v>1</v>
          </cell>
          <cell r="F777" t="str">
            <v>Долар США</v>
          </cell>
          <cell r="G777">
            <v>41.456400000000002</v>
          </cell>
        </row>
        <row r="778">
          <cell r="A778">
            <v>45878</v>
          </cell>
          <cell r="B778" t="str">
            <v>00.00</v>
          </cell>
          <cell r="C778">
            <v>840</v>
          </cell>
          <cell r="D778" t="str">
            <v>USD</v>
          </cell>
          <cell r="E778">
            <v>1</v>
          </cell>
          <cell r="F778" t="str">
            <v>Долар США</v>
          </cell>
          <cell r="G778">
            <v>41.456400000000002</v>
          </cell>
        </row>
        <row r="779">
          <cell r="A779">
            <v>45879</v>
          </cell>
          <cell r="B779" t="str">
            <v>00.00</v>
          </cell>
          <cell r="C779">
            <v>840</v>
          </cell>
          <cell r="D779" t="str">
            <v>USD</v>
          </cell>
          <cell r="E779">
            <v>1</v>
          </cell>
          <cell r="F779" t="str">
            <v>Долар США</v>
          </cell>
          <cell r="G779">
            <v>41.456400000000002</v>
          </cell>
        </row>
        <row r="780">
          <cell r="A780">
            <v>45880</v>
          </cell>
          <cell r="B780" t="str">
            <v>00.00</v>
          </cell>
          <cell r="C780">
            <v>840</v>
          </cell>
          <cell r="D780" t="str">
            <v>USD</v>
          </cell>
          <cell r="E780">
            <v>1</v>
          </cell>
          <cell r="F780" t="str">
            <v>Долар США</v>
          </cell>
          <cell r="G780">
            <v>41.389499999999998</v>
          </cell>
        </row>
        <row r="781">
          <cell r="A781">
            <v>45881</v>
          </cell>
          <cell r="B781" t="str">
            <v>00.00</v>
          </cell>
          <cell r="C781">
            <v>840</v>
          </cell>
          <cell r="D781" t="str">
            <v>USD</v>
          </cell>
          <cell r="E781">
            <v>1</v>
          </cell>
          <cell r="F781" t="str">
            <v>Долар США</v>
          </cell>
          <cell r="G781">
            <v>41.448999999999998</v>
          </cell>
        </row>
        <row r="782">
          <cell r="A782">
            <v>45882</v>
          </cell>
          <cell r="B782" t="str">
            <v>00.00</v>
          </cell>
          <cell r="C782">
            <v>840</v>
          </cell>
          <cell r="D782" t="str">
            <v>USD</v>
          </cell>
          <cell r="E782">
            <v>1</v>
          </cell>
          <cell r="F782" t="str">
            <v>Долар США</v>
          </cell>
          <cell r="G782">
            <v>41.4268</v>
          </cell>
        </row>
        <row r="783">
          <cell r="A783">
            <v>45883</v>
          </cell>
          <cell r="B783" t="str">
            <v>00.00</v>
          </cell>
          <cell r="C783">
            <v>840</v>
          </cell>
          <cell r="D783" t="str">
            <v>USD</v>
          </cell>
          <cell r="E783">
            <v>1</v>
          </cell>
          <cell r="F783" t="str">
            <v>Долар США</v>
          </cell>
          <cell r="G783">
            <v>41.514899999999997</v>
          </cell>
        </row>
        <row r="784">
          <cell r="A784">
            <v>45884</v>
          </cell>
          <cell r="B784" t="str">
            <v>00.00</v>
          </cell>
          <cell r="C784">
            <v>840</v>
          </cell>
          <cell r="D784" t="str">
            <v>USD</v>
          </cell>
          <cell r="E784">
            <v>1</v>
          </cell>
          <cell r="F784" t="str">
            <v>Долар США</v>
          </cell>
          <cell r="G784">
            <v>41.45</v>
          </cell>
        </row>
        <row r="785">
          <cell r="A785">
            <v>45885</v>
          </cell>
          <cell r="B785" t="str">
            <v>00.00</v>
          </cell>
          <cell r="C785">
            <v>840</v>
          </cell>
          <cell r="D785" t="str">
            <v>USD</v>
          </cell>
          <cell r="E785">
            <v>1</v>
          </cell>
          <cell r="F785" t="str">
            <v>Долар США</v>
          </cell>
          <cell r="G785">
            <v>41.45</v>
          </cell>
        </row>
        <row r="786">
          <cell r="A786">
            <v>45886</v>
          </cell>
          <cell r="B786" t="str">
            <v>00.00</v>
          </cell>
          <cell r="C786">
            <v>840</v>
          </cell>
          <cell r="D786" t="str">
            <v>USD</v>
          </cell>
          <cell r="E786">
            <v>1</v>
          </cell>
          <cell r="F786" t="str">
            <v>Долар США</v>
          </cell>
          <cell r="G786">
            <v>41.45</v>
          </cell>
        </row>
        <row r="787">
          <cell r="A787">
            <v>45887</v>
          </cell>
          <cell r="B787" t="str">
            <v>00.00</v>
          </cell>
          <cell r="C787">
            <v>840</v>
          </cell>
          <cell r="D787" t="str">
            <v>USD</v>
          </cell>
          <cell r="E787">
            <v>1</v>
          </cell>
          <cell r="F787" t="str">
            <v>Долар США</v>
          </cell>
          <cell r="G787">
            <v>41.3401</v>
          </cell>
        </row>
        <row r="788">
          <cell r="A788">
            <v>45888</v>
          </cell>
          <cell r="B788" t="str">
            <v>00.00</v>
          </cell>
          <cell r="C788">
            <v>840</v>
          </cell>
          <cell r="D788" t="str">
            <v>USD</v>
          </cell>
          <cell r="E788">
            <v>1</v>
          </cell>
          <cell r="F788" t="str">
            <v>Долар США</v>
          </cell>
          <cell r="G788">
            <v>41.258899999999997</v>
          </cell>
        </row>
        <row r="789">
          <cell r="A789">
            <v>45889</v>
          </cell>
          <cell r="B789" t="str">
            <v>00.00</v>
          </cell>
          <cell r="C789">
            <v>840</v>
          </cell>
          <cell r="D789" t="str">
            <v>USD</v>
          </cell>
          <cell r="E789">
            <v>1</v>
          </cell>
          <cell r="F789" t="str">
            <v>Долар США</v>
          </cell>
          <cell r="G789">
            <v>41.355699999999999</v>
          </cell>
        </row>
        <row r="790">
          <cell r="A790">
            <v>45890</v>
          </cell>
          <cell r="B790" t="str">
            <v>00.00</v>
          </cell>
          <cell r="C790">
            <v>840</v>
          </cell>
          <cell r="D790" t="str">
            <v>USD</v>
          </cell>
          <cell r="E790">
            <v>1</v>
          </cell>
          <cell r="F790" t="str">
            <v>Долар США</v>
          </cell>
          <cell r="G790">
            <v>41.3782</v>
          </cell>
        </row>
        <row r="791">
          <cell r="A791">
            <v>45891</v>
          </cell>
          <cell r="B791" t="str">
            <v>00.00</v>
          </cell>
          <cell r="C791">
            <v>840</v>
          </cell>
          <cell r="D791" t="str">
            <v>USD</v>
          </cell>
          <cell r="E791">
            <v>1</v>
          </cell>
          <cell r="F791" t="str">
            <v>Долар США</v>
          </cell>
          <cell r="G791">
            <v>41.218499999999999</v>
          </cell>
        </row>
        <row r="792">
          <cell r="A792">
            <v>45892</v>
          </cell>
          <cell r="B792" t="str">
            <v>00.00</v>
          </cell>
          <cell r="C792">
            <v>840</v>
          </cell>
          <cell r="D792" t="str">
            <v>USD</v>
          </cell>
          <cell r="E792">
            <v>1</v>
          </cell>
          <cell r="F792" t="str">
            <v>Долар США</v>
          </cell>
          <cell r="G792">
            <v>41.218499999999999</v>
          </cell>
        </row>
        <row r="793">
          <cell r="A793">
            <v>45893</v>
          </cell>
          <cell r="B793" t="str">
            <v>00.00</v>
          </cell>
          <cell r="C793">
            <v>840</v>
          </cell>
          <cell r="D793" t="str">
            <v>USD</v>
          </cell>
          <cell r="E793">
            <v>1</v>
          </cell>
          <cell r="F793" t="str">
            <v>Долар США</v>
          </cell>
          <cell r="G793">
            <v>41.218499999999999</v>
          </cell>
        </row>
        <row r="794">
          <cell r="A794">
            <v>45894</v>
          </cell>
          <cell r="B794" t="str">
            <v>00.00</v>
          </cell>
          <cell r="C794">
            <v>840</v>
          </cell>
          <cell r="D794" t="str">
            <v>USD</v>
          </cell>
          <cell r="E794">
            <v>1</v>
          </cell>
          <cell r="F794" t="str">
            <v>Долар США</v>
          </cell>
          <cell r="G794">
            <v>41.283900000000003</v>
          </cell>
        </row>
        <row r="795">
          <cell r="A795">
            <v>45895</v>
          </cell>
          <cell r="B795" t="str">
            <v>00.00</v>
          </cell>
          <cell r="C795">
            <v>840</v>
          </cell>
          <cell r="D795" t="str">
            <v>USD</v>
          </cell>
          <cell r="E795">
            <v>1</v>
          </cell>
          <cell r="F795" t="str">
            <v>Долар США</v>
          </cell>
          <cell r="G795">
            <v>41.43</v>
          </cell>
        </row>
        <row r="796">
          <cell r="A796">
            <v>45896</v>
          </cell>
          <cell r="B796" t="str">
            <v>00.00</v>
          </cell>
          <cell r="C796">
            <v>840</v>
          </cell>
          <cell r="D796" t="str">
            <v>USD</v>
          </cell>
          <cell r="E796">
            <v>1</v>
          </cell>
          <cell r="F796" t="str">
            <v>Долар США</v>
          </cell>
          <cell r="G796">
            <v>41.404699999999998</v>
          </cell>
        </row>
        <row r="797">
          <cell r="A797">
            <v>45897</v>
          </cell>
          <cell r="B797" t="str">
            <v>00.00</v>
          </cell>
          <cell r="C797">
            <v>840</v>
          </cell>
          <cell r="D797" t="str">
            <v>USD</v>
          </cell>
          <cell r="E797">
            <v>1</v>
          </cell>
          <cell r="F797" t="str">
            <v>Долар США</v>
          </cell>
          <cell r="G797">
            <v>41.322200000000002</v>
          </cell>
        </row>
        <row r="798">
          <cell r="A798">
            <v>45898</v>
          </cell>
          <cell r="B798" t="str">
            <v>00.00</v>
          </cell>
          <cell r="C798">
            <v>840</v>
          </cell>
          <cell r="D798" t="str">
            <v>USD</v>
          </cell>
          <cell r="E798">
            <v>1</v>
          </cell>
          <cell r="F798" t="str">
            <v>Долар США</v>
          </cell>
          <cell r="G798">
            <v>41.260199999999998</v>
          </cell>
        </row>
        <row r="799">
          <cell r="A799">
            <v>45899</v>
          </cell>
          <cell r="B799" t="str">
            <v>00.00</v>
          </cell>
          <cell r="C799">
            <v>840</v>
          </cell>
          <cell r="D799" t="str">
            <v>USD</v>
          </cell>
          <cell r="E799">
            <v>1</v>
          </cell>
          <cell r="F799" t="str">
            <v>Долар США</v>
          </cell>
          <cell r="G799">
            <v>41.260199999999998</v>
          </cell>
        </row>
        <row r="800">
          <cell r="A800">
            <v>45900</v>
          </cell>
          <cell r="B800" t="str">
            <v>00.00</v>
          </cell>
          <cell r="C800">
            <v>840</v>
          </cell>
          <cell r="D800" t="str">
            <v>USD</v>
          </cell>
          <cell r="E800">
            <v>1</v>
          </cell>
          <cell r="F800" t="str">
            <v>Долар США</v>
          </cell>
          <cell r="G800">
            <v>41.260199999999998</v>
          </cell>
        </row>
        <row r="801">
          <cell r="A801">
            <v>45901</v>
          </cell>
          <cell r="B801" t="str">
            <v>00.00</v>
          </cell>
          <cell r="C801">
            <v>840</v>
          </cell>
          <cell r="D801" t="str">
            <v>USD</v>
          </cell>
          <cell r="E801">
            <v>1</v>
          </cell>
          <cell r="F801" t="str">
            <v>Долар США</v>
          </cell>
          <cell r="G801">
            <v>41.320300000000003</v>
          </cell>
        </row>
        <row r="802">
          <cell r="A802">
            <v>45902</v>
          </cell>
          <cell r="B802" t="str">
            <v>00.00</v>
          </cell>
          <cell r="C802">
            <v>840</v>
          </cell>
          <cell r="D802" t="str">
            <v>USD</v>
          </cell>
          <cell r="E802">
            <v>1</v>
          </cell>
          <cell r="F802" t="str">
            <v>Долар США</v>
          </cell>
          <cell r="G802">
            <v>41.372199999999999</v>
          </cell>
        </row>
        <row r="803">
          <cell r="A803">
            <v>45903</v>
          </cell>
          <cell r="B803" t="str">
            <v>00.00</v>
          </cell>
          <cell r="C803">
            <v>840</v>
          </cell>
          <cell r="D803" t="str">
            <v>USD</v>
          </cell>
          <cell r="E803">
            <v>1</v>
          </cell>
          <cell r="F803" t="str">
            <v>Долар США</v>
          </cell>
          <cell r="G803">
            <v>41.363100000000003</v>
          </cell>
        </row>
        <row r="804">
          <cell r="A804">
            <v>45904</v>
          </cell>
          <cell r="B804" t="str">
            <v>00.00</v>
          </cell>
          <cell r="C804">
            <v>840</v>
          </cell>
          <cell r="D804" t="str">
            <v>USD</v>
          </cell>
          <cell r="E804">
            <v>1</v>
          </cell>
          <cell r="F804" t="str">
            <v>Долар США</v>
          </cell>
          <cell r="G804">
            <v>41.371899999999997</v>
          </cell>
        </row>
        <row r="805">
          <cell r="A805">
            <v>45905</v>
          </cell>
          <cell r="B805" t="str">
            <v>00.00</v>
          </cell>
          <cell r="C805">
            <v>840</v>
          </cell>
          <cell r="D805" t="str">
            <v>USD</v>
          </cell>
          <cell r="E805">
            <v>1</v>
          </cell>
          <cell r="F805" t="str">
            <v>Долар США</v>
          </cell>
          <cell r="G805">
            <v>41.349400000000003</v>
          </cell>
        </row>
        <row r="806">
          <cell r="A806">
            <v>45906</v>
          </cell>
          <cell r="B806" t="str">
            <v>00.00</v>
          </cell>
          <cell r="C806">
            <v>840</v>
          </cell>
          <cell r="D806" t="str">
            <v>USD</v>
          </cell>
          <cell r="E806">
            <v>1</v>
          </cell>
          <cell r="F806" t="str">
            <v>Долар США</v>
          </cell>
          <cell r="G806">
            <v>41.349400000000003</v>
          </cell>
        </row>
        <row r="807">
          <cell r="A807">
            <v>45907</v>
          </cell>
          <cell r="B807" t="str">
            <v>00.00</v>
          </cell>
          <cell r="C807">
            <v>840</v>
          </cell>
          <cell r="D807" t="str">
            <v>USD</v>
          </cell>
          <cell r="E807">
            <v>1</v>
          </cell>
          <cell r="F807" t="str">
            <v>Долар США</v>
          </cell>
          <cell r="G807">
            <v>41.349400000000003</v>
          </cell>
        </row>
        <row r="808">
          <cell r="A808">
            <v>45908</v>
          </cell>
          <cell r="B808" t="str">
            <v>00.00</v>
          </cell>
          <cell r="C808">
            <v>840</v>
          </cell>
          <cell r="D808" t="str">
            <v>USD</v>
          </cell>
          <cell r="E808">
            <v>1</v>
          </cell>
          <cell r="F808" t="str">
            <v>Долар США</v>
          </cell>
          <cell r="G808">
            <v>41.219900000000003</v>
          </cell>
        </row>
        <row r="809">
          <cell r="A809">
            <v>45909</v>
          </cell>
          <cell r="B809" t="str">
            <v>00.00</v>
          </cell>
          <cell r="C809">
            <v>840</v>
          </cell>
          <cell r="D809" t="str">
            <v>USD</v>
          </cell>
          <cell r="E809">
            <v>1</v>
          </cell>
          <cell r="F809" t="str">
            <v>Долар США</v>
          </cell>
          <cell r="G809">
            <v>41.249699999999997</v>
          </cell>
        </row>
        <row r="810">
          <cell r="A810">
            <v>45910</v>
          </cell>
          <cell r="B810" t="str">
            <v>00.00</v>
          </cell>
          <cell r="C810">
            <v>840</v>
          </cell>
          <cell r="D810" t="str">
            <v>USD</v>
          </cell>
          <cell r="E810">
            <v>1</v>
          </cell>
          <cell r="F810" t="str">
            <v>Долар США</v>
          </cell>
          <cell r="G810">
            <v>41.123699999999999</v>
          </cell>
        </row>
        <row r="811">
          <cell r="A811">
            <v>45911</v>
          </cell>
          <cell r="B811" t="str">
            <v>00.00</v>
          </cell>
          <cell r="C811">
            <v>840</v>
          </cell>
          <cell r="D811" t="str">
            <v>USD</v>
          </cell>
          <cell r="E811">
            <v>1</v>
          </cell>
          <cell r="F811" t="str">
            <v>Долар США</v>
          </cell>
          <cell r="G811">
            <v>41.213799999999999</v>
          </cell>
        </row>
        <row r="812">
          <cell r="A812">
            <v>45912</v>
          </cell>
          <cell r="B812" t="str">
            <v>00.00</v>
          </cell>
          <cell r="C812">
            <v>840</v>
          </cell>
          <cell r="D812" t="str">
            <v>USD</v>
          </cell>
          <cell r="E812">
            <v>1</v>
          </cell>
          <cell r="F812" t="str">
            <v>Долар США</v>
          </cell>
          <cell r="G812">
            <v>41.3127</v>
          </cell>
        </row>
        <row r="813">
          <cell r="A813">
            <v>45913</v>
          </cell>
          <cell r="B813" t="str">
            <v>00.00</v>
          </cell>
          <cell r="C813">
            <v>840</v>
          </cell>
          <cell r="D813" t="str">
            <v>USD</v>
          </cell>
          <cell r="E813">
            <v>1</v>
          </cell>
          <cell r="F813" t="str">
            <v>Долар США</v>
          </cell>
          <cell r="G813">
            <v>41.3127</v>
          </cell>
        </row>
        <row r="814">
          <cell r="A814">
            <v>45914</v>
          </cell>
          <cell r="B814" t="str">
            <v>00.00</v>
          </cell>
          <cell r="C814">
            <v>840</v>
          </cell>
          <cell r="D814" t="str">
            <v>USD</v>
          </cell>
          <cell r="E814">
            <v>1</v>
          </cell>
          <cell r="F814" t="str">
            <v>Долар США</v>
          </cell>
          <cell r="G814">
            <v>41.3127</v>
          </cell>
        </row>
        <row r="815">
          <cell r="A815">
            <v>45915</v>
          </cell>
          <cell r="B815" t="str">
            <v>00.00</v>
          </cell>
          <cell r="C815">
            <v>840</v>
          </cell>
          <cell r="D815" t="str">
            <v>USD</v>
          </cell>
          <cell r="E815">
            <v>1</v>
          </cell>
          <cell r="F815" t="str">
            <v>Долар США</v>
          </cell>
          <cell r="G815">
            <v>41.283799999999999</v>
          </cell>
        </row>
        <row r="816">
          <cell r="A816">
            <v>45916</v>
          </cell>
          <cell r="B816" t="str">
            <v>00.00</v>
          </cell>
          <cell r="C816">
            <v>840</v>
          </cell>
          <cell r="D816" t="str">
            <v>USD</v>
          </cell>
          <cell r="E816">
            <v>1</v>
          </cell>
          <cell r="F816" t="str">
            <v>Долар США</v>
          </cell>
          <cell r="G816">
            <v>41.231699999999996</v>
          </cell>
        </row>
        <row r="817">
          <cell r="A817">
            <v>45917</v>
          </cell>
          <cell r="B817" t="str">
            <v>00.00</v>
          </cell>
          <cell r="C817">
            <v>840</v>
          </cell>
          <cell r="D817" t="str">
            <v>USD</v>
          </cell>
          <cell r="E817">
            <v>1</v>
          </cell>
          <cell r="F817" t="str">
            <v>Долар США</v>
          </cell>
          <cell r="G817">
            <v>41.175199999999997</v>
          </cell>
        </row>
        <row r="818">
          <cell r="A818">
            <v>45918</v>
          </cell>
          <cell r="B818" t="str">
            <v>00.00</v>
          </cell>
          <cell r="C818">
            <v>840</v>
          </cell>
          <cell r="D818" t="str">
            <v>USD</v>
          </cell>
          <cell r="E818">
            <v>1</v>
          </cell>
          <cell r="F818" t="str">
            <v>Долар США</v>
          </cell>
          <cell r="G818">
            <v>41.194099999999999</v>
          </cell>
        </row>
        <row r="819">
          <cell r="A819">
            <v>45919</v>
          </cell>
          <cell r="B819" t="str">
            <v>00.00</v>
          </cell>
          <cell r="C819">
            <v>840</v>
          </cell>
          <cell r="D819" t="str">
            <v>USD</v>
          </cell>
          <cell r="E819">
            <v>1</v>
          </cell>
          <cell r="F819" t="str">
            <v>Долар США</v>
          </cell>
          <cell r="G819">
            <v>41.248800000000003</v>
          </cell>
        </row>
        <row r="820">
          <cell r="A820">
            <v>45920</v>
          </cell>
          <cell r="B820" t="str">
            <v>00.00</v>
          </cell>
          <cell r="C820">
            <v>840</v>
          </cell>
          <cell r="D820" t="str">
            <v>USD</v>
          </cell>
          <cell r="E820">
            <v>1</v>
          </cell>
          <cell r="F820" t="str">
            <v>Долар США</v>
          </cell>
          <cell r="G820">
            <v>41.248800000000003</v>
          </cell>
        </row>
        <row r="821">
          <cell r="A821">
            <v>45921</v>
          </cell>
          <cell r="B821" t="str">
            <v>00.00</v>
          </cell>
          <cell r="C821">
            <v>840</v>
          </cell>
          <cell r="D821" t="str">
            <v>USD</v>
          </cell>
          <cell r="E821">
            <v>1</v>
          </cell>
          <cell r="F821" t="str">
            <v>Долар США</v>
          </cell>
          <cell r="G821">
            <v>41.248800000000003</v>
          </cell>
        </row>
        <row r="822">
          <cell r="A822">
            <v>45922</v>
          </cell>
          <cell r="B822" t="str">
            <v>00.00</v>
          </cell>
          <cell r="C822">
            <v>840</v>
          </cell>
          <cell r="D822" t="str">
            <v>USD</v>
          </cell>
          <cell r="E822">
            <v>1</v>
          </cell>
          <cell r="F822" t="str">
            <v>Долар США</v>
          </cell>
          <cell r="G822">
            <v>41.2502</v>
          </cell>
        </row>
        <row r="823">
          <cell r="A823">
            <v>45923</v>
          </cell>
          <cell r="B823" t="str">
            <v>00.00</v>
          </cell>
          <cell r="C823">
            <v>840</v>
          </cell>
          <cell r="D823" t="str">
            <v>USD</v>
          </cell>
          <cell r="E823">
            <v>1</v>
          </cell>
          <cell r="F823" t="str">
            <v>Долар США</v>
          </cell>
          <cell r="G823">
            <v>41.381100000000004</v>
          </cell>
        </row>
        <row r="824">
          <cell r="A824">
            <v>45924</v>
          </cell>
          <cell r="B824" t="str">
            <v>00.00</v>
          </cell>
          <cell r="C824">
            <v>840</v>
          </cell>
          <cell r="D824" t="str">
            <v>USD</v>
          </cell>
          <cell r="E824">
            <v>1</v>
          </cell>
          <cell r="F824" t="str">
            <v>Долар США</v>
          </cell>
          <cell r="G824">
            <v>41.378</v>
          </cell>
        </row>
        <row r="825">
          <cell r="A825">
            <v>45925</v>
          </cell>
          <cell r="B825" t="str">
            <v>00.00</v>
          </cell>
          <cell r="C825">
            <v>840</v>
          </cell>
          <cell r="D825" t="str">
            <v>USD</v>
          </cell>
          <cell r="E825">
            <v>1</v>
          </cell>
          <cell r="F825" t="str">
            <v>Долар США</v>
          </cell>
          <cell r="G825">
            <v>41.410499999999999</v>
          </cell>
        </row>
        <row r="826">
          <cell r="A826">
            <v>45926</v>
          </cell>
          <cell r="B826" t="str">
            <v>00.00</v>
          </cell>
          <cell r="C826">
            <v>840</v>
          </cell>
          <cell r="D826" t="str">
            <v>USD</v>
          </cell>
          <cell r="E826">
            <v>1</v>
          </cell>
          <cell r="F826" t="str">
            <v>Долар США</v>
          </cell>
          <cell r="G826">
            <v>41.493899999999996</v>
          </cell>
        </row>
        <row r="827">
          <cell r="A827">
            <v>45927</v>
          </cell>
          <cell r="B827" t="str">
            <v>00.00</v>
          </cell>
          <cell r="C827">
            <v>840</v>
          </cell>
          <cell r="D827" t="str">
            <v>USD</v>
          </cell>
          <cell r="E827">
            <v>1</v>
          </cell>
          <cell r="F827" t="str">
            <v>Долар США</v>
          </cell>
          <cell r="G827">
            <v>41.493899999999996</v>
          </cell>
        </row>
        <row r="828">
          <cell r="A828">
            <v>45928</v>
          </cell>
          <cell r="B828" t="str">
            <v>00.00</v>
          </cell>
          <cell r="C828">
            <v>840</v>
          </cell>
          <cell r="D828" t="str">
            <v>USD</v>
          </cell>
          <cell r="E828">
            <v>1</v>
          </cell>
          <cell r="F828" t="str">
            <v>Долар США</v>
          </cell>
          <cell r="G828">
            <v>41.493899999999996</v>
          </cell>
        </row>
        <row r="829">
          <cell r="A829">
            <v>45929</v>
          </cell>
          <cell r="B829" t="str">
            <v>00.00</v>
          </cell>
          <cell r="C829">
            <v>840</v>
          </cell>
          <cell r="D829" t="str">
            <v>USD</v>
          </cell>
          <cell r="E829">
            <v>1</v>
          </cell>
          <cell r="F829" t="str">
            <v>Долар США</v>
          </cell>
          <cell r="G829">
            <v>41.478900000000003</v>
          </cell>
        </row>
        <row r="830">
          <cell r="A830">
            <v>45930</v>
          </cell>
          <cell r="B830" t="str">
            <v>00.00</v>
          </cell>
          <cell r="C830">
            <v>840</v>
          </cell>
          <cell r="D830" t="str">
            <v>USD</v>
          </cell>
          <cell r="E830">
            <v>1</v>
          </cell>
          <cell r="F830" t="str">
            <v>Долар США</v>
          </cell>
          <cell r="G830">
            <v>41.317599999999999</v>
          </cell>
        </row>
        <row r="831">
          <cell r="A831">
            <v>45931</v>
          </cell>
          <cell r="B831" t="str">
            <v>00.00</v>
          </cell>
          <cell r="C831">
            <v>840</v>
          </cell>
          <cell r="D831" t="str">
            <v>USD</v>
          </cell>
          <cell r="E831">
            <v>1</v>
          </cell>
          <cell r="F831" t="str">
            <v>Долар США</v>
          </cell>
          <cell r="G831">
            <v>41.142000000000003</v>
          </cell>
        </row>
        <row r="832">
          <cell r="A832">
            <v>45932</v>
          </cell>
          <cell r="B832" t="str">
            <v>00.00</v>
          </cell>
          <cell r="C832">
            <v>840</v>
          </cell>
          <cell r="D832" t="str">
            <v>USD</v>
          </cell>
          <cell r="E832">
            <v>1</v>
          </cell>
          <cell r="F832" t="str">
            <v>Долар США</v>
          </cell>
          <cell r="G832">
            <v>41.221499999999999</v>
          </cell>
        </row>
        <row r="833">
          <cell r="A833">
            <v>45933</v>
          </cell>
          <cell r="B833" t="str">
            <v>00.00</v>
          </cell>
          <cell r="C833">
            <v>840</v>
          </cell>
          <cell r="D833" t="str">
            <v>USD</v>
          </cell>
          <cell r="E833">
            <v>1</v>
          </cell>
          <cell r="F833" t="str">
            <v>Долар США</v>
          </cell>
          <cell r="G833">
            <v>41.276400000000002</v>
          </cell>
        </row>
        <row r="834">
          <cell r="A834">
            <v>45934</v>
          </cell>
          <cell r="B834" t="str">
            <v>00.00</v>
          </cell>
          <cell r="C834">
            <v>840</v>
          </cell>
          <cell r="D834" t="str">
            <v>USD</v>
          </cell>
          <cell r="E834">
            <v>1</v>
          </cell>
          <cell r="F834" t="str">
            <v>Долар США</v>
          </cell>
          <cell r="G834">
            <v>41.276400000000002</v>
          </cell>
        </row>
        <row r="835">
          <cell r="A835">
            <v>45935</v>
          </cell>
          <cell r="B835" t="str">
            <v>00.00</v>
          </cell>
          <cell r="C835">
            <v>840</v>
          </cell>
          <cell r="D835" t="str">
            <v>USD</v>
          </cell>
          <cell r="E835">
            <v>1</v>
          </cell>
          <cell r="F835" t="str">
            <v>Долар США</v>
          </cell>
          <cell r="G835">
            <v>41.276400000000002</v>
          </cell>
        </row>
        <row r="836">
          <cell r="A836">
            <v>45936</v>
          </cell>
          <cell r="B836" t="str">
            <v>00.00</v>
          </cell>
          <cell r="C836">
            <v>840</v>
          </cell>
          <cell r="D836" t="str">
            <v>USD</v>
          </cell>
          <cell r="E836">
            <v>1</v>
          </cell>
          <cell r="F836" t="str">
            <v>Долар США</v>
          </cell>
          <cell r="G836">
            <v>41.2286</v>
          </cell>
        </row>
        <row r="837">
          <cell r="A837">
            <v>45937</v>
          </cell>
          <cell r="B837" t="str">
            <v>00.00</v>
          </cell>
          <cell r="C837">
            <v>840</v>
          </cell>
          <cell r="D837" t="str">
            <v>USD</v>
          </cell>
          <cell r="E837">
            <v>1</v>
          </cell>
          <cell r="F837" t="str">
            <v>Долар США</v>
          </cell>
          <cell r="G837">
            <v>41.340899999999998</v>
          </cell>
        </row>
        <row r="838">
          <cell r="A838">
            <v>45938</v>
          </cell>
          <cell r="B838" t="str">
            <v>00.00</v>
          </cell>
          <cell r="C838">
            <v>840</v>
          </cell>
          <cell r="D838" t="str">
            <v>USD</v>
          </cell>
          <cell r="E838">
            <v>1</v>
          </cell>
          <cell r="F838" t="str">
            <v>Долар США</v>
          </cell>
          <cell r="G838">
            <v>41.315800000000003</v>
          </cell>
        </row>
        <row r="839">
          <cell r="A839">
            <v>45939</v>
          </cell>
          <cell r="B839" t="str">
            <v>00.00</v>
          </cell>
          <cell r="C839">
            <v>840</v>
          </cell>
          <cell r="D839" t="str">
            <v>USD</v>
          </cell>
          <cell r="E839">
            <v>1</v>
          </cell>
          <cell r="F839" t="str">
            <v>Долар США</v>
          </cell>
          <cell r="G839">
            <v>41.4024</v>
          </cell>
        </row>
        <row r="840">
          <cell r="A840">
            <v>45940</v>
          </cell>
          <cell r="B840" t="str">
            <v>00.00</v>
          </cell>
          <cell r="C840">
            <v>840</v>
          </cell>
          <cell r="D840" t="str">
            <v>USD</v>
          </cell>
          <cell r="E840">
            <v>1</v>
          </cell>
          <cell r="F840" t="str">
            <v>Долар США</v>
          </cell>
          <cell r="G840">
            <v>41.5062</v>
          </cell>
        </row>
        <row r="841">
          <cell r="A841">
            <v>45941</v>
          </cell>
          <cell r="B841" t="str">
            <v>00.00</v>
          </cell>
          <cell r="C841">
            <v>840</v>
          </cell>
          <cell r="D841" t="str">
            <v>USD</v>
          </cell>
          <cell r="E841">
            <v>1</v>
          </cell>
          <cell r="F841" t="str">
            <v>Долар США</v>
          </cell>
          <cell r="G841">
            <v>41.5062</v>
          </cell>
        </row>
        <row r="842">
          <cell r="A842">
            <v>45942</v>
          </cell>
          <cell r="B842" t="str">
            <v>00.00</v>
          </cell>
          <cell r="C842">
            <v>840</v>
          </cell>
          <cell r="D842" t="str">
            <v>USD</v>
          </cell>
          <cell r="E842">
            <v>1</v>
          </cell>
          <cell r="F842" t="str">
            <v>Долар США</v>
          </cell>
          <cell r="G842">
            <v>41.5062</v>
          </cell>
        </row>
        <row r="843">
          <cell r="A843">
            <v>45943</v>
          </cell>
          <cell r="B843" t="str">
            <v>00.00</v>
          </cell>
          <cell r="C843">
            <v>840</v>
          </cell>
          <cell r="D843" t="str">
            <v>USD</v>
          </cell>
          <cell r="E843">
            <v>1</v>
          </cell>
          <cell r="F843" t="str">
            <v>Долар США</v>
          </cell>
          <cell r="G843">
            <v>41.602699999999999</v>
          </cell>
        </row>
        <row r="844">
          <cell r="A844">
            <v>45944</v>
          </cell>
          <cell r="B844" t="str">
            <v>00.00</v>
          </cell>
          <cell r="C844">
            <v>840</v>
          </cell>
          <cell r="D844" t="str">
            <v>USD</v>
          </cell>
          <cell r="E844">
            <v>1</v>
          </cell>
          <cell r="F844" t="str">
            <v>Долар США</v>
          </cell>
          <cell r="G844">
            <v>41.610199999999999</v>
          </cell>
        </row>
        <row r="845">
          <cell r="A845">
            <v>45945</v>
          </cell>
          <cell r="B845" t="str">
            <v>00.00</v>
          </cell>
          <cell r="C845">
            <v>840</v>
          </cell>
          <cell r="D845" t="str">
            <v>USD</v>
          </cell>
          <cell r="E845">
            <v>1</v>
          </cell>
          <cell r="F845" t="str">
            <v>Долар США</v>
          </cell>
          <cell r="G845">
            <v>41.751399999999997</v>
          </cell>
        </row>
        <row r="846">
          <cell r="A846">
            <v>45946</v>
          </cell>
          <cell r="B846" t="str">
            <v>00.00</v>
          </cell>
          <cell r="C846">
            <v>840</v>
          </cell>
          <cell r="D846" t="str">
            <v>USD</v>
          </cell>
          <cell r="E846">
            <v>1</v>
          </cell>
          <cell r="F846" t="str">
            <v>Долар США</v>
          </cell>
          <cell r="G846">
            <v>41.7607</v>
          </cell>
        </row>
        <row r="847">
          <cell r="A847">
            <v>45947</v>
          </cell>
          <cell r="B847" t="str">
            <v>00.00</v>
          </cell>
          <cell r="C847">
            <v>840</v>
          </cell>
          <cell r="D847" t="str">
            <v>USD</v>
          </cell>
          <cell r="E847">
            <v>1</v>
          </cell>
          <cell r="F847" t="str">
            <v>Долар США</v>
          </cell>
          <cell r="G847">
            <v>41.635800000000003</v>
          </cell>
        </row>
        <row r="848">
          <cell r="A848">
            <v>45948</v>
          </cell>
          <cell r="B848" t="str">
            <v>00.00</v>
          </cell>
          <cell r="C848">
            <v>840</v>
          </cell>
          <cell r="D848" t="str">
            <v>USD</v>
          </cell>
          <cell r="E848">
            <v>1</v>
          </cell>
          <cell r="F848" t="str">
            <v>Долар США</v>
          </cell>
          <cell r="G848">
            <v>41.635800000000003</v>
          </cell>
        </row>
        <row r="849">
          <cell r="A849">
            <v>45949</v>
          </cell>
          <cell r="B849" t="str">
            <v>00.00</v>
          </cell>
          <cell r="C849">
            <v>840</v>
          </cell>
          <cell r="D849" t="str">
            <v>USD</v>
          </cell>
          <cell r="E849">
            <v>1</v>
          </cell>
          <cell r="F849" t="str">
            <v>Долар США</v>
          </cell>
          <cell r="G849">
            <v>41.635800000000003</v>
          </cell>
        </row>
        <row r="850">
          <cell r="A850">
            <v>45950</v>
          </cell>
          <cell r="B850" t="str">
            <v>00.00</v>
          </cell>
          <cell r="C850">
            <v>840</v>
          </cell>
          <cell r="D850" t="str">
            <v>USD</v>
          </cell>
          <cell r="E850">
            <v>1</v>
          </cell>
          <cell r="F850" t="str">
            <v>Долар США</v>
          </cell>
          <cell r="G850">
            <v>41.730800000000002</v>
          </cell>
        </row>
        <row r="851">
          <cell r="A851">
            <v>45951</v>
          </cell>
          <cell r="B851" t="str">
            <v>00.00</v>
          </cell>
          <cell r="C851">
            <v>840</v>
          </cell>
          <cell r="D851" t="str">
            <v>USD</v>
          </cell>
          <cell r="E851">
            <v>1</v>
          </cell>
          <cell r="F851" t="str">
            <v>Долар США</v>
          </cell>
          <cell r="G851">
            <v>41.756500000000003</v>
          </cell>
        </row>
        <row r="852">
          <cell r="A852">
            <v>45952</v>
          </cell>
          <cell r="B852" t="str">
            <v>00.00</v>
          </cell>
          <cell r="C852">
            <v>840</v>
          </cell>
          <cell r="D852" t="str">
            <v>USD</v>
          </cell>
          <cell r="E852">
            <v>1</v>
          </cell>
          <cell r="F852" t="str">
            <v>Долар США</v>
          </cell>
          <cell r="G852">
            <v>41.744100000000003</v>
          </cell>
        </row>
        <row r="853">
          <cell r="A853">
            <v>45953</v>
          </cell>
          <cell r="B853" t="str">
            <v>00.00</v>
          </cell>
          <cell r="C853">
            <v>840</v>
          </cell>
          <cell r="D853" t="str">
            <v>USD</v>
          </cell>
          <cell r="E853">
            <v>1</v>
          </cell>
          <cell r="F853" t="str">
            <v>Долар США</v>
          </cell>
          <cell r="G853">
            <v>41.755000000000003</v>
          </cell>
        </row>
        <row r="854">
          <cell r="A854">
            <v>45954</v>
          </cell>
          <cell r="B854" t="str">
            <v>00.00</v>
          </cell>
          <cell r="C854">
            <v>840</v>
          </cell>
          <cell r="D854" t="str">
            <v>USD</v>
          </cell>
          <cell r="E854">
            <v>1</v>
          </cell>
          <cell r="F854" t="str">
            <v>Долар США</v>
          </cell>
          <cell r="G854">
            <v>41.896999999999998</v>
          </cell>
        </row>
        <row r="855">
          <cell r="A855">
            <v>45955</v>
          </cell>
          <cell r="B855" t="str">
            <v>00.00</v>
          </cell>
          <cell r="C855">
            <v>840</v>
          </cell>
          <cell r="D855" t="str">
            <v>USD</v>
          </cell>
          <cell r="E855">
            <v>1</v>
          </cell>
          <cell r="F855" t="str">
            <v>Долар США</v>
          </cell>
          <cell r="G855">
            <v>41.896999999999998</v>
          </cell>
        </row>
        <row r="856">
          <cell r="A856">
            <v>45956</v>
          </cell>
          <cell r="B856" t="str">
            <v>00.00</v>
          </cell>
          <cell r="C856">
            <v>840</v>
          </cell>
          <cell r="D856" t="str">
            <v>USD</v>
          </cell>
          <cell r="E856">
            <v>1</v>
          </cell>
          <cell r="F856" t="str">
            <v>Долар США</v>
          </cell>
          <cell r="G856">
            <v>41.896999999999998</v>
          </cell>
        </row>
        <row r="857">
          <cell r="A857">
            <v>45957</v>
          </cell>
          <cell r="B857" t="str">
            <v>00.00</v>
          </cell>
          <cell r="C857">
            <v>840</v>
          </cell>
          <cell r="D857" t="str">
            <v>USD</v>
          </cell>
          <cell r="E857">
            <v>1</v>
          </cell>
          <cell r="F857" t="str">
            <v>Долар США</v>
          </cell>
          <cell r="G857">
            <v>41.996899999999997</v>
          </cell>
        </row>
        <row r="858">
          <cell r="A858">
            <v>45958</v>
          </cell>
          <cell r="B858" t="str">
            <v>00.00</v>
          </cell>
          <cell r="C858">
            <v>840</v>
          </cell>
          <cell r="D858" t="str">
            <v>USD</v>
          </cell>
          <cell r="E858">
            <v>1</v>
          </cell>
          <cell r="F858" t="str">
            <v>Долар США</v>
          </cell>
          <cell r="G858">
            <v>42.070399999999999</v>
          </cell>
        </row>
        <row r="859">
          <cell r="A859">
            <v>45959</v>
          </cell>
          <cell r="B859" t="str">
            <v>00.00</v>
          </cell>
          <cell r="C859">
            <v>840</v>
          </cell>
          <cell r="D859" t="str">
            <v>USD</v>
          </cell>
          <cell r="E859">
            <v>1</v>
          </cell>
          <cell r="F859" t="str">
            <v>Долар США</v>
          </cell>
          <cell r="G859">
            <v>42.083100000000002</v>
          </cell>
        </row>
        <row r="860">
          <cell r="A860">
            <v>45960</v>
          </cell>
          <cell r="B860" t="str">
            <v>00.00</v>
          </cell>
          <cell r="C860">
            <v>840</v>
          </cell>
          <cell r="D860" t="str">
            <v>USD</v>
          </cell>
          <cell r="E860">
            <v>1</v>
          </cell>
          <cell r="F860" t="str">
            <v>Долар США</v>
          </cell>
          <cell r="G860">
            <v>42.011499999999998</v>
          </cell>
        </row>
        <row r="861">
          <cell r="A861">
            <v>45961</v>
          </cell>
          <cell r="B861" t="str">
            <v>00.00</v>
          </cell>
          <cell r="C861">
            <v>840</v>
          </cell>
          <cell r="D861" t="str">
            <v>USD</v>
          </cell>
          <cell r="E861">
            <v>1</v>
          </cell>
          <cell r="F861" t="str">
            <v>Долар США</v>
          </cell>
          <cell r="G861">
            <v>41.970100000000002</v>
          </cell>
        </row>
        <row r="862">
          <cell r="A862">
            <v>45962</v>
          </cell>
          <cell r="B862" t="str">
            <v>00.00</v>
          </cell>
          <cell r="C862">
            <v>840</v>
          </cell>
          <cell r="D862" t="str">
            <v>USD</v>
          </cell>
          <cell r="E862">
            <v>1</v>
          </cell>
          <cell r="F862" t="str">
            <v>Долар США</v>
          </cell>
          <cell r="G862">
            <v>41.970100000000002</v>
          </cell>
        </row>
        <row r="863">
          <cell r="A863">
            <v>45963</v>
          </cell>
          <cell r="B863" t="str">
            <v>00.00</v>
          </cell>
          <cell r="C863">
            <v>840</v>
          </cell>
          <cell r="D863" t="str">
            <v>USD</v>
          </cell>
          <cell r="E863">
            <v>1</v>
          </cell>
          <cell r="F863" t="str">
            <v>Долар США</v>
          </cell>
          <cell r="G863">
            <v>41.970100000000002</v>
          </cell>
        </row>
        <row r="864">
          <cell r="A864">
            <v>45964</v>
          </cell>
          <cell r="B864" t="str">
            <v>00.00</v>
          </cell>
          <cell r="C864">
            <v>840</v>
          </cell>
          <cell r="D864" t="str">
            <v>USD</v>
          </cell>
          <cell r="E864">
            <v>1</v>
          </cell>
          <cell r="F864" t="str">
            <v>Долар США</v>
          </cell>
          <cell r="G864">
            <v>41.892400000000002</v>
          </cell>
        </row>
        <row r="865">
          <cell r="A865">
            <v>45965</v>
          </cell>
          <cell r="B865" t="str">
            <v>00.00</v>
          </cell>
          <cell r="C865">
            <v>840</v>
          </cell>
          <cell r="D865" t="str">
            <v>USD</v>
          </cell>
          <cell r="E865">
            <v>1</v>
          </cell>
          <cell r="F865" t="str">
            <v>Долар США</v>
          </cell>
          <cell r="G865">
            <v>42.040900000000001</v>
          </cell>
        </row>
        <row r="866">
          <cell r="A866">
            <v>45966</v>
          </cell>
          <cell r="B866" t="str">
            <v>00.00</v>
          </cell>
          <cell r="C866">
            <v>840</v>
          </cell>
          <cell r="D866" t="str">
            <v>USD</v>
          </cell>
          <cell r="E866">
            <v>1</v>
          </cell>
          <cell r="F866" t="str">
            <v>Долар США</v>
          </cell>
          <cell r="G866">
            <v>42.072499999999998</v>
          </cell>
        </row>
        <row r="867">
          <cell r="A867">
            <v>45967</v>
          </cell>
          <cell r="B867" t="str">
            <v>00.00</v>
          </cell>
          <cell r="C867">
            <v>840</v>
          </cell>
          <cell r="D867" t="str">
            <v>USD</v>
          </cell>
          <cell r="E867">
            <v>1</v>
          </cell>
          <cell r="F867" t="str">
            <v>Долар США</v>
          </cell>
          <cell r="G867">
            <v>42.067100000000003</v>
          </cell>
        </row>
        <row r="868">
          <cell r="A868">
            <v>45968</v>
          </cell>
          <cell r="B868" t="str">
            <v>00.00</v>
          </cell>
          <cell r="C868">
            <v>840</v>
          </cell>
          <cell r="D868" t="str">
            <v>USD</v>
          </cell>
          <cell r="E868">
            <v>1</v>
          </cell>
          <cell r="F868" t="str">
            <v>Долар США</v>
          </cell>
          <cell r="G868">
            <v>42.083599999999997</v>
          </cell>
        </row>
        <row r="869">
          <cell r="A869">
            <v>45969</v>
          </cell>
          <cell r="B869" t="str">
            <v>00.00</v>
          </cell>
          <cell r="C869">
            <v>840</v>
          </cell>
          <cell r="D869" t="str">
            <v>USD</v>
          </cell>
          <cell r="E869">
            <v>1</v>
          </cell>
          <cell r="F869" t="str">
            <v>Долар США</v>
          </cell>
          <cell r="G869">
            <v>42.083599999999997</v>
          </cell>
        </row>
        <row r="870">
          <cell r="A870">
            <v>45970</v>
          </cell>
          <cell r="B870" t="str">
            <v>00.00</v>
          </cell>
          <cell r="C870">
            <v>840</v>
          </cell>
          <cell r="D870" t="str">
            <v>USD</v>
          </cell>
          <cell r="E870">
            <v>1</v>
          </cell>
          <cell r="F870" t="str">
            <v>Долар США</v>
          </cell>
          <cell r="G870">
            <v>42.083599999999997</v>
          </cell>
        </row>
        <row r="871">
          <cell r="A871">
            <v>45971</v>
          </cell>
          <cell r="B871" t="str">
            <v>00.00</v>
          </cell>
          <cell r="C871">
            <v>840</v>
          </cell>
          <cell r="D871" t="str">
            <v>USD</v>
          </cell>
          <cell r="E871">
            <v>1</v>
          </cell>
          <cell r="F871" t="str">
            <v>Долар США</v>
          </cell>
          <cell r="G871">
            <v>41.978200000000001</v>
          </cell>
        </row>
        <row r="872">
          <cell r="A872">
            <v>45972</v>
          </cell>
          <cell r="B872" t="str">
            <v>00.00</v>
          </cell>
          <cell r="C872">
            <v>840</v>
          </cell>
          <cell r="D872" t="str">
            <v>USD</v>
          </cell>
          <cell r="E872">
            <v>1</v>
          </cell>
          <cell r="F872" t="str">
            <v>Долар США</v>
          </cell>
          <cell r="G872">
            <v>41.9559</v>
          </cell>
        </row>
        <row r="873">
          <cell r="A873">
            <v>45973</v>
          </cell>
          <cell r="B873" t="str">
            <v>00.00</v>
          </cell>
          <cell r="C873">
            <v>840</v>
          </cell>
          <cell r="D873" t="str">
            <v>USD</v>
          </cell>
          <cell r="E873">
            <v>1</v>
          </cell>
          <cell r="F873" t="str">
            <v>Долар США</v>
          </cell>
          <cell r="G873">
            <v>42.0139</v>
          </cell>
        </row>
        <row r="874">
          <cell r="A874">
            <v>45974</v>
          </cell>
          <cell r="B874" t="str">
            <v>00.00</v>
          </cell>
          <cell r="C874">
            <v>840</v>
          </cell>
          <cell r="D874" t="str">
            <v>USD</v>
          </cell>
          <cell r="E874">
            <v>1</v>
          </cell>
          <cell r="F874" t="str">
            <v>Долар США</v>
          </cell>
          <cell r="G874">
            <v>42.037700000000001</v>
          </cell>
        </row>
        <row r="875">
          <cell r="A875">
            <v>45975</v>
          </cell>
          <cell r="B875" t="str">
            <v>00.00</v>
          </cell>
          <cell r="C875">
            <v>840</v>
          </cell>
          <cell r="D875" t="str">
            <v>USD</v>
          </cell>
          <cell r="E875">
            <v>1</v>
          </cell>
          <cell r="F875" t="str">
            <v>Долар США</v>
          </cell>
          <cell r="G875">
            <v>42.064100000000003</v>
          </cell>
        </row>
        <row r="876">
          <cell r="A876">
            <v>45976</v>
          </cell>
          <cell r="B876" t="str">
            <v>00.00</v>
          </cell>
          <cell r="C876">
            <v>840</v>
          </cell>
          <cell r="D876" t="str">
            <v>USD</v>
          </cell>
          <cell r="E876">
            <v>1</v>
          </cell>
          <cell r="F876" t="str">
            <v>Долар США</v>
          </cell>
          <cell r="G876">
            <v>42.064100000000003</v>
          </cell>
        </row>
        <row r="877">
          <cell r="A877">
            <v>45977</v>
          </cell>
          <cell r="B877" t="str">
            <v>00.00</v>
          </cell>
          <cell r="C877">
            <v>840</v>
          </cell>
          <cell r="D877" t="str">
            <v>USD</v>
          </cell>
          <cell r="E877">
            <v>1</v>
          </cell>
          <cell r="F877" t="str">
            <v>Долар США</v>
          </cell>
          <cell r="G877">
            <v>42.064100000000003</v>
          </cell>
        </row>
        <row r="878">
          <cell r="A878">
            <v>45978</v>
          </cell>
          <cell r="B878" t="str">
            <v>00.00</v>
          </cell>
          <cell r="C878">
            <v>840</v>
          </cell>
          <cell r="D878" t="str">
            <v>USD</v>
          </cell>
          <cell r="E878">
            <v>1</v>
          </cell>
          <cell r="F878" t="str">
            <v>Долар США</v>
          </cell>
          <cell r="G878">
            <v>42.042299999999997</v>
          </cell>
        </row>
        <row r="879">
          <cell r="A879">
            <v>45979</v>
          </cell>
          <cell r="B879" t="str">
            <v>00.00</v>
          </cell>
          <cell r="C879">
            <v>840</v>
          </cell>
          <cell r="D879" t="str">
            <v>USD</v>
          </cell>
          <cell r="E879">
            <v>1</v>
          </cell>
          <cell r="F879" t="str">
            <v>Долар США</v>
          </cell>
          <cell r="G879">
            <v>42.067</v>
          </cell>
        </row>
        <row r="880">
          <cell r="A880">
            <v>45980</v>
          </cell>
          <cell r="B880" t="str">
            <v>00.00</v>
          </cell>
          <cell r="C880">
            <v>840</v>
          </cell>
          <cell r="D880" t="str">
            <v>USD</v>
          </cell>
          <cell r="E880">
            <v>1</v>
          </cell>
          <cell r="F880" t="str">
            <v>Долар США</v>
          </cell>
          <cell r="G880">
            <v>42.092399999999998</v>
          </cell>
        </row>
        <row r="881">
          <cell r="A881">
            <v>45981</v>
          </cell>
          <cell r="B881" t="str">
            <v>00.00</v>
          </cell>
          <cell r="C881">
            <v>840</v>
          </cell>
          <cell r="D881" t="str">
            <v>USD</v>
          </cell>
          <cell r="E881">
            <v>1</v>
          </cell>
          <cell r="F881" t="str">
            <v>Долар США</v>
          </cell>
          <cell r="G881">
            <v>42.094799999999999</v>
          </cell>
        </row>
        <row r="882">
          <cell r="A882">
            <v>45982</v>
          </cell>
          <cell r="B882" t="str">
            <v>00.00</v>
          </cell>
          <cell r="C882">
            <v>840</v>
          </cell>
          <cell r="D882" t="str">
            <v>USD</v>
          </cell>
          <cell r="E882">
            <v>1</v>
          </cell>
          <cell r="F882" t="str">
            <v>Долар США</v>
          </cell>
          <cell r="G882">
            <v>42.154899999999998</v>
          </cell>
        </row>
        <row r="883">
          <cell r="A883">
            <v>45983</v>
          </cell>
          <cell r="B883" t="str">
            <v>00.00</v>
          </cell>
          <cell r="C883">
            <v>840</v>
          </cell>
          <cell r="D883" t="str">
            <v>USD</v>
          </cell>
          <cell r="E883">
            <v>1</v>
          </cell>
          <cell r="F883" t="str">
            <v>Долар США</v>
          </cell>
          <cell r="G883">
            <v>42.154899999999998</v>
          </cell>
        </row>
        <row r="884">
          <cell r="A884">
            <v>45984</v>
          </cell>
          <cell r="B884" t="str">
            <v>00.00</v>
          </cell>
          <cell r="C884">
            <v>840</v>
          </cell>
          <cell r="D884" t="str">
            <v>USD</v>
          </cell>
          <cell r="E884">
            <v>1</v>
          </cell>
          <cell r="F884" t="str">
            <v>Долар США</v>
          </cell>
          <cell r="G884">
            <v>42.154899999999998</v>
          </cell>
        </row>
        <row r="885">
          <cell r="A885">
            <v>45985</v>
          </cell>
          <cell r="B885" t="str">
            <v>00.00</v>
          </cell>
          <cell r="C885">
            <v>840</v>
          </cell>
          <cell r="D885" t="str">
            <v>USD</v>
          </cell>
          <cell r="E885">
            <v>1</v>
          </cell>
          <cell r="F885" t="str">
            <v>Долар США</v>
          </cell>
          <cell r="G885">
            <v>42.267200000000003</v>
          </cell>
        </row>
        <row r="886">
          <cell r="A886">
            <v>45986</v>
          </cell>
          <cell r="B886" t="str">
            <v>00.00</v>
          </cell>
          <cell r="C886">
            <v>840</v>
          </cell>
          <cell r="D886" t="str">
            <v>USD</v>
          </cell>
          <cell r="E886">
            <v>1</v>
          </cell>
          <cell r="F886" t="str">
            <v>Долар США</v>
          </cell>
          <cell r="G886">
            <v>42.371299999999998</v>
          </cell>
        </row>
        <row r="887">
          <cell r="A887">
            <v>45987</v>
          </cell>
          <cell r="B887" t="str">
            <v>00.00</v>
          </cell>
          <cell r="C887">
            <v>840</v>
          </cell>
          <cell r="D887" t="str">
            <v>USD</v>
          </cell>
          <cell r="E887">
            <v>1</v>
          </cell>
          <cell r="F887" t="str">
            <v>Долар США</v>
          </cell>
          <cell r="G887">
            <v>42.401499999999999</v>
          </cell>
        </row>
        <row r="888">
          <cell r="A888">
            <v>45988</v>
          </cell>
          <cell r="B888" t="str">
            <v>00.00</v>
          </cell>
          <cell r="C888">
            <v>840</v>
          </cell>
          <cell r="D888" t="str">
            <v>USD</v>
          </cell>
          <cell r="E888">
            <v>1</v>
          </cell>
          <cell r="F888" t="str">
            <v>Долар США</v>
          </cell>
          <cell r="G888">
            <v>42.298699999999997</v>
          </cell>
        </row>
        <row r="889">
          <cell r="A889">
            <v>45989</v>
          </cell>
          <cell r="B889" t="str">
            <v>00.00</v>
          </cell>
          <cell r="C889">
            <v>840</v>
          </cell>
          <cell r="D889" t="str">
            <v>USD</v>
          </cell>
          <cell r="E889">
            <v>1</v>
          </cell>
          <cell r="F889" t="str">
            <v>Долар США</v>
          </cell>
          <cell r="G889">
            <v>42.192799999999998</v>
          </cell>
        </row>
        <row r="890">
          <cell r="A890">
            <v>45990</v>
          </cell>
          <cell r="B890" t="str">
            <v>00.00</v>
          </cell>
          <cell r="C890">
            <v>840</v>
          </cell>
          <cell r="D890" t="str">
            <v>USD</v>
          </cell>
          <cell r="E890">
            <v>1</v>
          </cell>
          <cell r="F890" t="str">
            <v>Долар США</v>
          </cell>
          <cell r="G890">
            <v>42.192799999999998</v>
          </cell>
        </row>
        <row r="891">
          <cell r="A891">
            <v>45991</v>
          </cell>
          <cell r="B891" t="str">
            <v>00.00</v>
          </cell>
          <cell r="C891">
            <v>840</v>
          </cell>
          <cell r="D891" t="str">
            <v>USD</v>
          </cell>
          <cell r="E891">
            <v>1</v>
          </cell>
          <cell r="F891" t="str">
            <v>Долар США</v>
          </cell>
          <cell r="G891">
            <v>42.192799999999998</v>
          </cell>
        </row>
        <row r="892">
          <cell r="A892">
            <v>45992</v>
          </cell>
          <cell r="B892" t="str">
            <v>00.00</v>
          </cell>
          <cell r="C892">
            <v>840</v>
          </cell>
          <cell r="D892" t="str">
            <v>USD</v>
          </cell>
          <cell r="E892">
            <v>1</v>
          </cell>
          <cell r="F892" t="str">
            <v>Долар США</v>
          </cell>
          <cell r="G892">
            <v>42.265999999999998</v>
          </cell>
        </row>
        <row r="893">
          <cell r="A893">
            <v>45993</v>
          </cell>
          <cell r="B893" t="str">
            <v>00.00</v>
          </cell>
          <cell r="C893">
            <v>840</v>
          </cell>
          <cell r="D893" t="str">
            <v>USD</v>
          </cell>
          <cell r="E893">
            <v>1</v>
          </cell>
          <cell r="F893" t="str">
            <v>Долар США</v>
          </cell>
          <cell r="G893">
            <v>42.341299999999997</v>
          </cell>
        </row>
        <row r="894">
          <cell r="A894">
            <v>45994</v>
          </cell>
          <cell r="B894" t="str">
            <v>00.00</v>
          </cell>
          <cell r="C894">
            <v>840</v>
          </cell>
          <cell r="D894" t="str">
            <v>USD</v>
          </cell>
          <cell r="E894">
            <v>1</v>
          </cell>
          <cell r="F894" t="str">
            <v>Долар США</v>
          </cell>
          <cell r="G894">
            <v>42.334200000000003</v>
          </cell>
        </row>
        <row r="895">
          <cell r="A895">
            <v>45995</v>
          </cell>
          <cell r="B895" t="str">
            <v>00.00</v>
          </cell>
          <cell r="C895">
            <v>840</v>
          </cell>
          <cell r="D895" t="str">
            <v>USD</v>
          </cell>
          <cell r="E895">
            <v>1</v>
          </cell>
          <cell r="F895" t="str">
            <v>Долар США</v>
          </cell>
          <cell r="G895">
            <v>42.203400000000002</v>
          </cell>
        </row>
        <row r="896">
          <cell r="A896">
            <v>45996</v>
          </cell>
          <cell r="B896" t="str">
            <v>00.00</v>
          </cell>
          <cell r="C896">
            <v>840</v>
          </cell>
          <cell r="D896" t="str">
            <v>USD</v>
          </cell>
          <cell r="E896">
            <v>1</v>
          </cell>
          <cell r="F896" t="str">
            <v>Долар США</v>
          </cell>
          <cell r="G896">
            <v>42.183799999999998</v>
          </cell>
        </row>
        <row r="897">
          <cell r="A897">
            <v>45997</v>
          </cell>
          <cell r="B897" t="str">
            <v>00.00</v>
          </cell>
          <cell r="C897">
            <v>840</v>
          </cell>
          <cell r="D897" t="str">
            <v>USD</v>
          </cell>
          <cell r="E897">
            <v>1</v>
          </cell>
          <cell r="F897" t="str">
            <v>Долар США</v>
          </cell>
          <cell r="G897">
            <v>42.183799999999998</v>
          </cell>
        </row>
        <row r="898">
          <cell r="A898">
            <v>45998</v>
          </cell>
          <cell r="B898" t="str">
            <v>00.00</v>
          </cell>
          <cell r="C898">
            <v>840</v>
          </cell>
          <cell r="D898" t="str">
            <v>USD</v>
          </cell>
          <cell r="E898">
            <v>1</v>
          </cell>
          <cell r="F898" t="str">
            <v>Долар США</v>
          </cell>
          <cell r="G898">
            <v>42.183799999999998</v>
          </cell>
        </row>
        <row r="899">
          <cell r="A899">
            <v>45999</v>
          </cell>
          <cell r="B899" t="str">
            <v>00.00</v>
          </cell>
          <cell r="C899">
            <v>840</v>
          </cell>
          <cell r="D899" t="str">
            <v>USD</v>
          </cell>
          <cell r="E899">
            <v>1</v>
          </cell>
          <cell r="F899" t="str">
            <v>Долар США</v>
          </cell>
          <cell r="G899">
            <v>42.056699999999999</v>
          </cell>
        </row>
        <row r="900">
          <cell r="A900">
            <v>46000</v>
          </cell>
          <cell r="B900" t="str">
            <v>00.00</v>
          </cell>
          <cell r="C900">
            <v>840</v>
          </cell>
          <cell r="D900" t="str">
            <v>USD</v>
          </cell>
          <cell r="E900">
            <v>1</v>
          </cell>
          <cell r="F900" t="str">
            <v>Долар США</v>
          </cell>
          <cell r="G900">
            <v>42.07</v>
          </cell>
        </row>
        <row r="901">
          <cell r="A901">
            <v>46001</v>
          </cell>
          <cell r="B901" t="str">
            <v>00.00</v>
          </cell>
          <cell r="C901">
            <v>840</v>
          </cell>
          <cell r="D901" t="str">
            <v>USD</v>
          </cell>
          <cell r="E901">
            <v>1</v>
          </cell>
          <cell r="F901" t="str">
            <v>Долар США</v>
          </cell>
          <cell r="G901">
            <v>42.183799999999998</v>
          </cell>
        </row>
        <row r="902">
          <cell r="A902">
            <v>46002</v>
          </cell>
          <cell r="B902" t="str">
            <v>00.00</v>
          </cell>
          <cell r="C902">
            <v>840</v>
          </cell>
          <cell r="D902" t="str">
            <v>USD</v>
          </cell>
          <cell r="E902">
            <v>1</v>
          </cell>
          <cell r="F902" t="str">
            <v>Долар США</v>
          </cell>
          <cell r="G902">
            <v>42.281199999999998</v>
          </cell>
        </row>
        <row r="903">
          <cell r="A903">
            <v>46003</v>
          </cell>
          <cell r="B903" t="str">
            <v>00.00</v>
          </cell>
          <cell r="C903">
            <v>840</v>
          </cell>
          <cell r="D903" t="str">
            <v>USD</v>
          </cell>
          <cell r="E903">
            <v>1</v>
          </cell>
          <cell r="F903" t="str">
            <v>Долар США</v>
          </cell>
          <cell r="G903">
            <v>42.272100000000002</v>
          </cell>
        </row>
        <row r="904">
          <cell r="A904">
            <v>46004</v>
          </cell>
          <cell r="B904" t="str">
            <v>00.00</v>
          </cell>
          <cell r="C904">
            <v>840</v>
          </cell>
          <cell r="D904" t="str">
            <v>USD</v>
          </cell>
          <cell r="E904">
            <v>1</v>
          </cell>
          <cell r="F904" t="str">
            <v>Долар США</v>
          </cell>
          <cell r="G904">
            <v>42.272100000000002</v>
          </cell>
        </row>
        <row r="905">
          <cell r="A905">
            <v>46005</v>
          </cell>
          <cell r="B905" t="str">
            <v>00.00</v>
          </cell>
          <cell r="C905">
            <v>840</v>
          </cell>
          <cell r="D905" t="str">
            <v>USD</v>
          </cell>
          <cell r="E905">
            <v>1</v>
          </cell>
          <cell r="F905" t="str">
            <v>Долар США</v>
          </cell>
          <cell r="G905">
            <v>42.272100000000002</v>
          </cell>
        </row>
        <row r="906">
          <cell r="A906">
            <v>46006</v>
          </cell>
          <cell r="B906" t="str">
            <v>00.00</v>
          </cell>
          <cell r="C906">
            <v>840</v>
          </cell>
          <cell r="D906" t="str">
            <v>USD</v>
          </cell>
          <cell r="E906">
            <v>1</v>
          </cell>
          <cell r="F906" t="str">
            <v>Долар США</v>
          </cell>
          <cell r="G906">
            <v>42.193600000000004</v>
          </cell>
        </row>
        <row r="907">
          <cell r="A907">
            <v>46007</v>
          </cell>
          <cell r="B907" t="str">
            <v>00.00</v>
          </cell>
          <cell r="C907">
            <v>840</v>
          </cell>
          <cell r="D907" t="str">
            <v>USD</v>
          </cell>
          <cell r="E907">
            <v>1</v>
          </cell>
          <cell r="F907" t="str">
            <v>Долар США</v>
          </cell>
          <cell r="G907">
            <v>42.245100000000001</v>
          </cell>
        </row>
        <row r="908">
          <cell r="A908">
            <v>46008</v>
          </cell>
          <cell r="B908" t="str">
            <v>00.00</v>
          </cell>
          <cell r="C908">
            <v>840</v>
          </cell>
          <cell r="D908" t="str">
            <v>USD</v>
          </cell>
          <cell r="E908">
            <v>1</v>
          </cell>
          <cell r="F908" t="str">
            <v>Долар США</v>
          </cell>
          <cell r="G908">
            <v>42.184800000000003</v>
          </cell>
        </row>
        <row r="909">
          <cell r="A909">
            <v>46009</v>
          </cell>
          <cell r="B909" t="str">
            <v>00.00</v>
          </cell>
          <cell r="C909">
            <v>840</v>
          </cell>
          <cell r="D909" t="str">
            <v>USD</v>
          </cell>
          <cell r="E909">
            <v>1</v>
          </cell>
          <cell r="F909" t="str">
            <v>Долар США</v>
          </cell>
          <cell r="G909">
            <v>42.3384</v>
          </cell>
        </row>
        <row r="910">
          <cell r="A910">
            <v>46010</v>
          </cell>
          <cell r="B910" t="str">
            <v>00.00</v>
          </cell>
          <cell r="C910">
            <v>840</v>
          </cell>
          <cell r="D910" t="str">
            <v>USD</v>
          </cell>
          <cell r="E910">
            <v>1</v>
          </cell>
          <cell r="F910" t="str">
            <v>Долар США</v>
          </cell>
          <cell r="G910">
            <v>42.337400000000002</v>
          </cell>
        </row>
        <row r="911">
          <cell r="A911">
            <v>46011</v>
          </cell>
          <cell r="B911" t="str">
            <v>00.00</v>
          </cell>
          <cell r="C911">
            <v>840</v>
          </cell>
          <cell r="D911" t="str">
            <v>USD</v>
          </cell>
          <cell r="E911">
            <v>1</v>
          </cell>
          <cell r="F911" t="str">
            <v>Долар США</v>
          </cell>
          <cell r="G911">
            <v>42.337400000000002</v>
          </cell>
        </row>
        <row r="912">
          <cell r="A912">
            <v>46012</v>
          </cell>
          <cell r="B912" t="str">
            <v>00.00</v>
          </cell>
          <cell r="C912">
            <v>840</v>
          </cell>
          <cell r="D912" t="str">
            <v>USD</v>
          </cell>
          <cell r="E912">
            <v>1</v>
          </cell>
          <cell r="F912" t="str">
            <v>Долар США</v>
          </cell>
          <cell r="G912">
            <v>42.337400000000002</v>
          </cell>
        </row>
        <row r="913">
          <cell r="A913">
            <v>46013</v>
          </cell>
          <cell r="B913" t="str">
            <v>00.00</v>
          </cell>
          <cell r="C913">
            <v>840</v>
          </cell>
          <cell r="D913" t="str">
            <v>USD</v>
          </cell>
          <cell r="E913">
            <v>1</v>
          </cell>
          <cell r="F913" t="str">
            <v>Долар США</v>
          </cell>
          <cell r="G913">
            <v>42.248100000000001</v>
          </cell>
        </row>
        <row r="914">
          <cell r="A914">
            <v>46014</v>
          </cell>
          <cell r="B914" t="str">
            <v>00.00</v>
          </cell>
          <cell r="C914">
            <v>840</v>
          </cell>
          <cell r="D914" t="str">
            <v>USD</v>
          </cell>
          <cell r="E914">
            <v>1</v>
          </cell>
          <cell r="F914" t="str">
            <v>Долар США</v>
          </cell>
          <cell r="G914">
            <v>42.148200000000003</v>
          </cell>
        </row>
        <row r="915">
          <cell r="A915">
            <v>46015</v>
          </cell>
          <cell r="B915" t="str">
            <v>00.00</v>
          </cell>
          <cell r="C915">
            <v>840</v>
          </cell>
          <cell r="D915" t="str">
            <v>USD</v>
          </cell>
          <cell r="E915">
            <v>1</v>
          </cell>
          <cell r="F915" t="str">
            <v>Долар США</v>
          </cell>
          <cell r="G915">
            <v>42.100299999999997</v>
          </cell>
        </row>
        <row r="916">
          <cell r="A916">
            <v>46016</v>
          </cell>
          <cell r="B916" t="str">
            <v>00.00</v>
          </cell>
          <cell r="C916">
            <v>840</v>
          </cell>
          <cell r="D916" t="str">
            <v>USD</v>
          </cell>
          <cell r="E916">
            <v>1</v>
          </cell>
          <cell r="F916" t="str">
            <v>Долар США</v>
          </cell>
          <cell r="G916">
            <v>42.1541</v>
          </cell>
        </row>
        <row r="917">
          <cell r="A917">
            <v>46017</v>
          </cell>
          <cell r="B917" t="str">
            <v>00.00</v>
          </cell>
          <cell r="C917">
            <v>840</v>
          </cell>
          <cell r="D917" t="str">
            <v>USD</v>
          </cell>
          <cell r="E917">
            <v>1</v>
          </cell>
          <cell r="F917" t="str">
            <v>Долар США</v>
          </cell>
          <cell r="G917">
            <v>41.933100000000003</v>
          </cell>
        </row>
        <row r="918">
          <cell r="A918">
            <v>46018</v>
          </cell>
          <cell r="B918" t="str">
            <v>00.00</v>
          </cell>
          <cell r="C918">
            <v>840</v>
          </cell>
          <cell r="D918" t="str">
            <v>USD</v>
          </cell>
          <cell r="E918">
            <v>1</v>
          </cell>
          <cell r="F918" t="str">
            <v>Долар США</v>
          </cell>
          <cell r="G918">
            <v>41.933100000000003</v>
          </cell>
        </row>
        <row r="919">
          <cell r="A919">
            <v>46019</v>
          </cell>
          <cell r="B919" t="str">
            <v>00.00</v>
          </cell>
          <cell r="C919">
            <v>840</v>
          </cell>
          <cell r="D919" t="str">
            <v>USD</v>
          </cell>
          <cell r="E919">
            <v>1</v>
          </cell>
          <cell r="F919" t="str">
            <v>Долар США</v>
          </cell>
          <cell r="G919">
            <v>41.933100000000003</v>
          </cell>
        </row>
        <row r="920">
          <cell r="A920">
            <v>46020</v>
          </cell>
          <cell r="B920" t="str">
            <v>00.00</v>
          </cell>
          <cell r="C920">
            <v>840</v>
          </cell>
          <cell r="D920" t="str">
            <v>USD</v>
          </cell>
          <cell r="E920">
            <v>1</v>
          </cell>
          <cell r="F920" t="str">
            <v>Долар США</v>
          </cell>
          <cell r="G920">
            <v>42.063699999999997</v>
          </cell>
        </row>
        <row r="921">
          <cell r="A921">
            <v>46021</v>
          </cell>
          <cell r="B921" t="str">
            <v>00.00</v>
          </cell>
          <cell r="C921">
            <v>840</v>
          </cell>
          <cell r="D921" t="str">
            <v>USD</v>
          </cell>
          <cell r="E921">
            <v>1</v>
          </cell>
          <cell r="F921" t="str">
            <v>Долар США</v>
          </cell>
          <cell r="G921">
            <v>42.2179</v>
          </cell>
        </row>
        <row r="922">
          <cell r="A922">
            <v>46022</v>
          </cell>
          <cell r="B922" t="str">
            <v>00.00</v>
          </cell>
          <cell r="C922">
            <v>840</v>
          </cell>
          <cell r="D922" t="str">
            <v>USD</v>
          </cell>
          <cell r="E922">
            <v>1</v>
          </cell>
          <cell r="F922" t="str">
            <v>Долар США</v>
          </cell>
          <cell r="G922">
            <v>42.387799999999999</v>
          </cell>
        </row>
        <row r="923">
          <cell r="A923">
            <v>46023</v>
          </cell>
          <cell r="B923" t="str">
            <v>00.00</v>
          </cell>
          <cell r="C923">
            <v>840</v>
          </cell>
          <cell r="D923" t="str">
            <v>USD</v>
          </cell>
          <cell r="E923">
            <v>1</v>
          </cell>
          <cell r="F923" t="str">
            <v>Долар США</v>
          </cell>
          <cell r="G923">
            <v>42.353200000000001</v>
          </cell>
        </row>
        <row r="924">
          <cell r="A924">
            <v>46024</v>
          </cell>
          <cell r="B924" t="str">
            <v>00.00</v>
          </cell>
          <cell r="C924">
            <v>840</v>
          </cell>
          <cell r="D924" t="str">
            <v>USD</v>
          </cell>
          <cell r="E924">
            <v>1</v>
          </cell>
          <cell r="F924" t="str">
            <v>Долар США</v>
          </cell>
          <cell r="G924">
            <v>42.170099999999998</v>
          </cell>
        </row>
        <row r="925">
          <cell r="A925">
            <v>46025</v>
          </cell>
          <cell r="B925" t="str">
            <v>00.00</v>
          </cell>
          <cell r="C925">
            <v>840</v>
          </cell>
          <cell r="D925" t="str">
            <v>USD</v>
          </cell>
          <cell r="E925">
            <v>1</v>
          </cell>
          <cell r="F925" t="str">
            <v>Долар США</v>
          </cell>
          <cell r="G925">
            <v>42.170099999999998</v>
          </cell>
        </row>
        <row r="926">
          <cell r="A926">
            <v>46026</v>
          </cell>
          <cell r="B926" t="str">
            <v>00.00</v>
          </cell>
          <cell r="C926">
            <v>840</v>
          </cell>
          <cell r="D926" t="str">
            <v>USD</v>
          </cell>
          <cell r="E926">
            <v>1</v>
          </cell>
          <cell r="F926" t="str">
            <v>Долар США</v>
          </cell>
          <cell r="G926">
            <v>42.170099999999998</v>
          </cell>
        </row>
        <row r="927">
          <cell r="A927">
            <v>46027</v>
          </cell>
          <cell r="B927" t="str">
            <v>00.00</v>
          </cell>
          <cell r="C927">
            <v>840</v>
          </cell>
          <cell r="D927" t="str">
            <v>USD</v>
          </cell>
          <cell r="E927">
            <v>1</v>
          </cell>
          <cell r="F927" t="str">
            <v>Долар США</v>
          </cell>
          <cell r="G927">
            <v>42.294199999999996</v>
          </cell>
        </row>
        <row r="928">
          <cell r="A928">
            <v>46028</v>
          </cell>
          <cell r="B928" t="str">
            <v>00.00</v>
          </cell>
          <cell r="C928">
            <v>840</v>
          </cell>
          <cell r="D928" t="str">
            <v>USD</v>
          </cell>
          <cell r="E928">
            <v>1</v>
          </cell>
          <cell r="F928" t="str">
            <v>Долар США</v>
          </cell>
          <cell r="G928">
            <v>42.4208</v>
          </cell>
        </row>
        <row r="929">
          <cell r="A929">
            <v>46029</v>
          </cell>
          <cell r="B929" t="str">
            <v>00.00</v>
          </cell>
          <cell r="C929">
            <v>840</v>
          </cell>
          <cell r="D929" t="str">
            <v>USD</v>
          </cell>
          <cell r="E929">
            <v>1</v>
          </cell>
          <cell r="F929" t="str">
            <v>Долар США</v>
          </cell>
          <cell r="G929">
            <v>42.563400000000001</v>
          </cell>
        </row>
      </sheetData>
      <sheetData sheetId="32"/>
      <sheetData sheetId="33"/>
      <sheetData sheetId="34"/>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D8213-3A47-415C-8ECE-913255BF0C58}">
  <sheetPr filterMode="1">
    <tabColor rgb="FFFFC000"/>
  </sheetPr>
  <dimension ref="A1:R168"/>
  <sheetViews>
    <sheetView tabSelected="1" zoomScale="70" zoomScaleNormal="70" workbookViewId="0">
      <pane ySplit="1" topLeftCell="A147" activePane="bottomLeft" state="frozen"/>
      <selection pane="bottomLeft" activeCell="O164" sqref="A164:O164"/>
    </sheetView>
  </sheetViews>
  <sheetFormatPr defaultColWidth="9.1796875" defaultRowHeight="13" x14ac:dyDescent="0.35"/>
  <cols>
    <col min="1" max="1" width="4.453125" style="1" customWidth="1"/>
    <col min="2" max="2" width="27.1796875" style="10" customWidth="1"/>
    <col min="3" max="3" width="22.6328125" style="1" customWidth="1"/>
    <col min="4" max="4" width="18.6328125" style="1" customWidth="1"/>
    <col min="5" max="5" width="28.453125" style="1" customWidth="1"/>
    <col min="6" max="6" width="11.54296875" style="1" customWidth="1"/>
    <col min="7" max="7" width="11.1796875" style="1" customWidth="1"/>
    <col min="8" max="9" width="9.1796875" style="1"/>
    <col min="10" max="10" width="15.54296875" style="10" customWidth="1"/>
    <col min="11" max="11" width="9.1796875" style="1"/>
    <col min="12" max="12" width="16.1796875" style="1" customWidth="1"/>
    <col min="13" max="13" width="19.90625" style="1" customWidth="1"/>
    <col min="14" max="14" width="11.1796875" style="1" customWidth="1"/>
    <col min="15" max="15" width="59.6328125" style="1" customWidth="1"/>
    <col min="16" max="18" width="11.1796875" style="1" customWidth="1"/>
    <col min="19" max="16384" width="9.1796875" style="1"/>
  </cols>
  <sheetData>
    <row r="1" spans="1:18" ht="26" x14ac:dyDescent="0.35">
      <c r="A1" s="2" t="s">
        <v>0</v>
      </c>
      <c r="B1" s="3" t="str">
        <f>[1]MarketObservation_Decode!D3</f>
        <v>market_observation_id</v>
      </c>
      <c r="C1" s="4" t="str">
        <f>[1]MarketObservation_Decode!D4</f>
        <v>spatial_unit_id</v>
      </c>
      <c r="D1" s="5" t="str">
        <f>[1]MarketObservation_Decode!D5</f>
        <v>source_site</v>
      </c>
      <c r="E1" s="5" t="str">
        <f>[1]MarketObservation_Decode!D6</f>
        <v>url</v>
      </c>
      <c r="F1" s="5" t="str">
        <f>[1]MarketObservation_Decode!D7</f>
        <v>scrape_date</v>
      </c>
      <c r="G1" s="5" t="str">
        <f>[1]MarketObservation_Decode!D8</f>
        <v>listing_date</v>
      </c>
      <c r="H1" s="5" t="str">
        <f>[1]MarketObservation_Decode!D9</f>
        <v>status_code</v>
      </c>
      <c r="I1" s="5" t="str">
        <f>[1]MarketObservation_Decode!D10</f>
        <v>offer_type_code</v>
      </c>
      <c r="J1" s="6" t="str">
        <f>[1]MarketObservation_Decode!D11</f>
        <v>price_amount</v>
      </c>
      <c r="K1" s="7" t="str">
        <f>[1]MarketObservation_Decode!D12</f>
        <v>price_currency</v>
      </c>
      <c r="L1" s="6" t="str">
        <f>[1]MarketObservation_Decode!D13</f>
        <v>price_amount_uah</v>
      </c>
      <c r="M1" s="6" t="str">
        <f>[1]MarketObservation_Decode!D14</f>
        <v>price_per_m2_uah</v>
      </c>
      <c r="N1" s="6" t="str">
        <f>[1]MarketObservation_Decode!D15</f>
        <v>title</v>
      </c>
      <c r="O1" s="6" t="str">
        <f>[1]MarketObservation_Decode!D16</f>
        <v>description</v>
      </c>
      <c r="P1" s="6" t="str">
        <f>[1]MarketObservation_Decode!D17</f>
        <v>dedup_hash</v>
      </c>
      <c r="Q1" s="6" t="str">
        <f>[1]MarketObservation_Decode!D18</f>
        <v>data_qc_status</v>
      </c>
      <c r="R1" s="6" t="str">
        <f>[1]MarketObservation_Decode!D19</f>
        <v>normalized_url</v>
      </c>
    </row>
    <row r="2" spans="1:18" ht="130" hidden="1" x14ac:dyDescent="0.35">
      <c r="A2" s="2">
        <v>1</v>
      </c>
      <c r="B2" s="8">
        <v>1000000001</v>
      </c>
      <c r="C2" s="2" t="s">
        <v>1</v>
      </c>
      <c r="D2" s="2" t="s">
        <v>2</v>
      </c>
      <c r="E2" s="2" t="s">
        <v>3</v>
      </c>
      <c r="F2" s="9">
        <v>45957</v>
      </c>
      <c r="G2" s="9">
        <v>45955</v>
      </c>
      <c r="H2" s="9" t="s">
        <v>4</v>
      </c>
      <c r="I2" s="9" t="s">
        <v>5</v>
      </c>
      <c r="J2" s="8">
        <v>48000</v>
      </c>
      <c r="K2" s="2" t="s">
        <v>6</v>
      </c>
      <c r="L2" s="8">
        <f>ROUND(VLOOKUP(F2,'[1]Офіційний курс гривні щодо ...'!$A$466:$G$929,7,)*J2,-3)</f>
        <v>2016000</v>
      </c>
      <c r="M2" s="8">
        <v>3446.1538461538462</v>
      </c>
      <c r="N2" s="9"/>
      <c r="O2" s="9" t="s">
        <v>7</v>
      </c>
      <c r="P2" s="9"/>
      <c r="Q2" s="9" t="s">
        <v>8</v>
      </c>
      <c r="R2" s="9"/>
    </row>
    <row r="3" spans="1:18" ht="130" hidden="1" x14ac:dyDescent="0.35">
      <c r="A3" s="2">
        <v>2</v>
      </c>
      <c r="B3" s="8">
        <v>1000000002</v>
      </c>
      <c r="C3" s="2" t="s">
        <v>9</v>
      </c>
      <c r="D3" s="2" t="s">
        <v>2</v>
      </c>
      <c r="E3" s="2" t="s">
        <v>10</v>
      </c>
      <c r="F3" s="9">
        <v>45960</v>
      </c>
      <c r="G3" s="9">
        <v>45955</v>
      </c>
      <c r="H3" s="9" t="s">
        <v>4</v>
      </c>
      <c r="I3" s="9" t="s">
        <v>5</v>
      </c>
      <c r="J3" s="8">
        <v>29500</v>
      </c>
      <c r="K3" s="2" t="s">
        <v>6</v>
      </c>
      <c r="L3" s="8">
        <f>ROUND(VLOOKUP(F3,'[1]Офіційний курс гривні щодо ...'!$A$466:$G$929,7,)*J3,-3)</f>
        <v>1239000</v>
      </c>
      <c r="M3" s="8">
        <v>3376.0217983651228</v>
      </c>
      <c r="N3" s="9"/>
      <c r="O3" s="9" t="s">
        <v>11</v>
      </c>
      <c r="P3" s="9"/>
      <c r="Q3" s="9" t="s">
        <v>8</v>
      </c>
      <c r="R3" s="9"/>
    </row>
    <row r="4" spans="1:18" ht="143" hidden="1" x14ac:dyDescent="0.35">
      <c r="A4" s="2">
        <v>3</v>
      </c>
      <c r="B4" s="8">
        <v>1000000003</v>
      </c>
      <c r="C4" s="2" t="s">
        <v>12</v>
      </c>
      <c r="D4" s="2" t="s">
        <v>2</v>
      </c>
      <c r="E4" s="2" t="s">
        <v>13</v>
      </c>
      <c r="F4" s="9">
        <v>45960</v>
      </c>
      <c r="G4" s="9">
        <v>45961</v>
      </c>
      <c r="H4" s="9" t="s">
        <v>4</v>
      </c>
      <c r="I4" s="9" t="s">
        <v>5</v>
      </c>
      <c r="J4" s="8">
        <v>125000</v>
      </c>
      <c r="K4" s="2" t="s">
        <v>6</v>
      </c>
      <c r="L4" s="8">
        <f>ROUND(VLOOKUP(F4,'[1]Офіційний курс гривні щодо ...'!$A$466:$G$929,7,)*J4,-3)</f>
        <v>5251000</v>
      </c>
      <c r="M4" s="8">
        <v>5251</v>
      </c>
      <c r="N4" s="9"/>
      <c r="O4" s="9" t="s">
        <v>14</v>
      </c>
      <c r="P4" s="9"/>
      <c r="Q4" s="9" t="s">
        <v>8</v>
      </c>
      <c r="R4" s="9"/>
    </row>
    <row r="5" spans="1:18" ht="39" hidden="1" x14ac:dyDescent="0.35">
      <c r="A5" s="2">
        <v>4</v>
      </c>
      <c r="B5" s="8">
        <v>1000000004</v>
      </c>
      <c r="C5" s="2" t="s">
        <v>15</v>
      </c>
      <c r="D5" s="2" t="s">
        <v>2</v>
      </c>
      <c r="E5" s="2" t="s">
        <v>16</v>
      </c>
      <c r="F5" s="9">
        <v>45960</v>
      </c>
      <c r="G5" s="9">
        <v>45955</v>
      </c>
      <c r="H5" s="9" t="s">
        <v>4</v>
      </c>
      <c r="I5" s="9" t="s">
        <v>5</v>
      </c>
      <c r="J5" s="8">
        <v>379000</v>
      </c>
      <c r="K5" s="2" t="s">
        <v>6</v>
      </c>
      <c r="L5" s="8">
        <f>ROUND(VLOOKUP(F5,'[1]Офіційний курс гривні щодо ...'!$A$466:$G$929,7,)*J5,-3)</f>
        <v>15922000</v>
      </c>
      <c r="M5" s="8">
        <v>15922</v>
      </c>
      <c r="N5" s="9"/>
      <c r="O5" s="9" t="s">
        <v>17</v>
      </c>
      <c r="P5" s="9"/>
      <c r="Q5" s="9" t="s">
        <v>8</v>
      </c>
      <c r="R5" s="9"/>
    </row>
    <row r="6" spans="1:18" ht="195" hidden="1" x14ac:dyDescent="0.35">
      <c r="A6" s="2">
        <v>5</v>
      </c>
      <c r="B6" s="8">
        <v>1000000005</v>
      </c>
      <c r="C6" s="2" t="s">
        <v>18</v>
      </c>
      <c r="D6" s="2" t="s">
        <v>2</v>
      </c>
      <c r="E6" s="2" t="s">
        <v>19</v>
      </c>
      <c r="F6" s="9">
        <v>45961</v>
      </c>
      <c r="G6" s="9">
        <v>45951</v>
      </c>
      <c r="H6" s="9" t="s">
        <v>4</v>
      </c>
      <c r="I6" s="9" t="s">
        <v>5</v>
      </c>
      <c r="J6" s="8">
        <v>74430</v>
      </c>
      <c r="K6" s="2" t="s">
        <v>6</v>
      </c>
      <c r="L6" s="8">
        <f>ROUND(VLOOKUP(F6,'[1]Офіційний курс гривні щодо ...'!$A$466:$G$929,7,)*J6,-3)</f>
        <v>3124000</v>
      </c>
      <c r="M6" s="8">
        <v>3777.5090689238209</v>
      </c>
      <c r="N6" s="9"/>
      <c r="O6" s="9" t="s">
        <v>20</v>
      </c>
      <c r="P6" s="9"/>
      <c r="Q6" s="9" t="s">
        <v>8</v>
      </c>
      <c r="R6" s="9"/>
    </row>
    <row r="7" spans="1:18" ht="39" hidden="1" x14ac:dyDescent="0.35">
      <c r="A7" s="2">
        <v>6</v>
      </c>
      <c r="B7" s="8">
        <v>1000000006</v>
      </c>
      <c r="C7" s="2" t="s">
        <v>21</v>
      </c>
      <c r="D7" s="2" t="s">
        <v>2</v>
      </c>
      <c r="E7" s="2" t="s">
        <v>22</v>
      </c>
      <c r="F7" s="9">
        <v>45961</v>
      </c>
      <c r="G7" s="9">
        <v>45950</v>
      </c>
      <c r="H7" s="9" t="s">
        <v>4</v>
      </c>
      <c r="I7" s="9" t="s">
        <v>5</v>
      </c>
      <c r="J7" s="8">
        <v>90000</v>
      </c>
      <c r="K7" s="2" t="s">
        <v>6</v>
      </c>
      <c r="L7" s="8">
        <f>ROUND(VLOOKUP(F7,'[1]Офіційний курс гривні щодо ...'!$A$466:$G$929,7,)*J7,-3)</f>
        <v>3777000</v>
      </c>
      <c r="M7" s="8">
        <v>3777</v>
      </c>
      <c r="N7" s="9"/>
      <c r="O7" s="9" t="s">
        <v>23</v>
      </c>
      <c r="P7" s="9"/>
      <c r="Q7" s="9" t="s">
        <v>8</v>
      </c>
      <c r="R7" s="9"/>
    </row>
    <row r="8" spans="1:18" ht="91" hidden="1" x14ac:dyDescent="0.35">
      <c r="A8" s="2">
        <v>7</v>
      </c>
      <c r="B8" s="8">
        <v>1000000007</v>
      </c>
      <c r="C8" s="2" t="s">
        <v>24</v>
      </c>
      <c r="D8" s="2" t="s">
        <v>2</v>
      </c>
      <c r="E8" s="2" t="s">
        <v>25</v>
      </c>
      <c r="F8" s="9">
        <v>45961</v>
      </c>
      <c r="G8" s="9">
        <v>45958</v>
      </c>
      <c r="H8" s="9" t="s">
        <v>4</v>
      </c>
      <c r="I8" s="9" t="s">
        <v>5</v>
      </c>
      <c r="J8" s="8">
        <v>670000</v>
      </c>
      <c r="K8" s="2" t="s">
        <v>6</v>
      </c>
      <c r="L8" s="8">
        <f>ROUND(VLOOKUP(F8,'[1]Офіційний курс гривні щодо ...'!$A$466:$G$929,7,)*J8,-3)</f>
        <v>28120000</v>
      </c>
      <c r="M8" s="8">
        <v>27460.9375</v>
      </c>
      <c r="N8" s="9"/>
      <c r="O8" s="9" t="s">
        <v>26</v>
      </c>
      <c r="P8" s="9"/>
      <c r="Q8" s="9" t="s">
        <v>8</v>
      </c>
      <c r="R8" s="9"/>
    </row>
    <row r="9" spans="1:18" ht="156" hidden="1" x14ac:dyDescent="0.35">
      <c r="A9" s="2">
        <v>8</v>
      </c>
      <c r="B9" s="8">
        <v>1000000008</v>
      </c>
      <c r="C9" s="2" t="s">
        <v>27</v>
      </c>
      <c r="D9" s="2" t="s">
        <v>2</v>
      </c>
      <c r="E9" s="2" t="s">
        <v>28</v>
      </c>
      <c r="F9" s="9">
        <v>45961</v>
      </c>
      <c r="G9" s="9">
        <v>45956</v>
      </c>
      <c r="H9" s="9" t="s">
        <v>4</v>
      </c>
      <c r="I9" s="9" t="s">
        <v>5</v>
      </c>
      <c r="J9" s="8">
        <v>108000</v>
      </c>
      <c r="K9" s="2" t="s">
        <v>6</v>
      </c>
      <c r="L9" s="8">
        <f>ROUND(VLOOKUP(F9,'[1]Офіційний курс гривні щодо ...'!$A$466:$G$929,7,)*J9,-3)</f>
        <v>4533000</v>
      </c>
      <c r="M9" s="8">
        <v>3777.5</v>
      </c>
      <c r="N9" s="9"/>
      <c r="O9" s="9" t="s">
        <v>29</v>
      </c>
      <c r="P9" s="9"/>
      <c r="Q9" s="9" t="s">
        <v>8</v>
      </c>
      <c r="R9" s="9"/>
    </row>
    <row r="10" spans="1:18" ht="169" hidden="1" x14ac:dyDescent="0.35">
      <c r="A10" s="2">
        <v>9</v>
      </c>
      <c r="B10" s="8">
        <v>1000000009</v>
      </c>
      <c r="C10" s="2" t="s">
        <v>30</v>
      </c>
      <c r="D10" s="2" t="s">
        <v>2</v>
      </c>
      <c r="E10" s="2" t="s">
        <v>31</v>
      </c>
      <c r="F10" s="9">
        <v>45961</v>
      </c>
      <c r="G10" s="9">
        <v>45948</v>
      </c>
      <c r="H10" s="9" t="s">
        <v>4</v>
      </c>
      <c r="I10" s="9" t="s">
        <v>5</v>
      </c>
      <c r="J10" s="8">
        <v>116910</v>
      </c>
      <c r="K10" s="2" t="s">
        <v>6</v>
      </c>
      <c r="L10" s="8">
        <f>ROUND(VLOOKUP(F10,'[1]Офіційний курс гривні щодо ...'!$A$466:$G$929,7,)*J10,-3)</f>
        <v>4907000</v>
      </c>
      <c r="M10" s="8">
        <v>3777.5211701308699</v>
      </c>
      <c r="N10" s="9"/>
      <c r="O10" s="9" t="s">
        <v>32</v>
      </c>
      <c r="P10" s="9"/>
      <c r="Q10" s="9" t="s">
        <v>8</v>
      </c>
      <c r="R10" s="9"/>
    </row>
    <row r="11" spans="1:18" ht="78" hidden="1" x14ac:dyDescent="0.35">
      <c r="A11" s="2">
        <v>10</v>
      </c>
      <c r="B11" s="8">
        <v>1000000010</v>
      </c>
      <c r="C11" s="2" t="s">
        <v>33</v>
      </c>
      <c r="D11" s="2" t="s">
        <v>2</v>
      </c>
      <c r="E11" s="2" t="s">
        <v>34</v>
      </c>
      <c r="F11" s="9">
        <v>45961</v>
      </c>
      <c r="G11" s="9">
        <v>45952</v>
      </c>
      <c r="H11" s="2" t="s">
        <v>4</v>
      </c>
      <c r="I11" s="9" t="s">
        <v>5</v>
      </c>
      <c r="J11" s="8">
        <v>326880</v>
      </c>
      <c r="K11" s="2" t="s">
        <v>6</v>
      </c>
      <c r="L11" s="8">
        <f>ROUND(VLOOKUP(F11,'[1]Офіційний курс гривні щодо ...'!$A$466:$G$929,7,)*J11,-3)</f>
        <v>13719000</v>
      </c>
      <c r="M11" s="8">
        <v>3777.2577092511015</v>
      </c>
      <c r="N11" s="9"/>
      <c r="O11" s="9" t="s">
        <v>35</v>
      </c>
      <c r="P11" s="9"/>
      <c r="Q11" s="9" t="s">
        <v>8</v>
      </c>
      <c r="R11" s="9"/>
    </row>
    <row r="12" spans="1:18" ht="130" hidden="1" x14ac:dyDescent="0.35">
      <c r="A12" s="2">
        <v>11</v>
      </c>
      <c r="B12" s="8">
        <v>1000000011</v>
      </c>
      <c r="C12" s="2" t="s">
        <v>36</v>
      </c>
      <c r="D12" s="2" t="s">
        <v>2</v>
      </c>
      <c r="E12" s="2" t="s">
        <v>37</v>
      </c>
      <c r="F12" s="9">
        <v>45961</v>
      </c>
      <c r="G12" s="9">
        <v>45958</v>
      </c>
      <c r="H12" s="2" t="s">
        <v>4</v>
      </c>
      <c r="I12" s="9" t="s">
        <v>5</v>
      </c>
      <c r="J12" s="8">
        <v>240000</v>
      </c>
      <c r="K12" s="2" t="s">
        <v>6</v>
      </c>
      <c r="L12" s="8">
        <f>ROUND(VLOOKUP(F12,'[1]Офіційний курс гривні щодо ...'!$A$466:$G$929,7,)*J12,-3)</f>
        <v>10073000</v>
      </c>
      <c r="M12" s="8">
        <v>10073</v>
      </c>
      <c r="N12" s="9"/>
      <c r="O12" s="9" t="s">
        <v>38</v>
      </c>
      <c r="P12" s="9"/>
      <c r="Q12" s="9" t="s">
        <v>8</v>
      </c>
      <c r="R12" s="9"/>
    </row>
    <row r="13" spans="1:18" ht="91" hidden="1" x14ac:dyDescent="0.35">
      <c r="A13" s="2">
        <v>12</v>
      </c>
      <c r="B13" s="8">
        <v>1000000012</v>
      </c>
      <c r="C13" s="2" t="s">
        <v>39</v>
      </c>
      <c r="D13" s="2" t="s">
        <v>2</v>
      </c>
      <c r="E13" s="2" t="s">
        <v>40</v>
      </c>
      <c r="F13" s="9">
        <v>45962</v>
      </c>
      <c r="G13" s="9">
        <v>45957</v>
      </c>
      <c r="H13" s="2" t="s">
        <v>4</v>
      </c>
      <c r="I13" s="9" t="s">
        <v>5</v>
      </c>
      <c r="J13" s="8">
        <v>56000</v>
      </c>
      <c r="K13" s="2" t="s">
        <v>6</v>
      </c>
      <c r="L13" s="8">
        <f>ROUND(VLOOKUP(F13,'[1]Офіційний курс гривні щодо ...'!$A$466:$G$929,7,)*J13,-3)</f>
        <v>2350000</v>
      </c>
      <c r="M13" s="8">
        <v>3916.6666666666665</v>
      </c>
      <c r="N13" s="9"/>
      <c r="O13" s="9" t="s">
        <v>41</v>
      </c>
      <c r="P13" s="9"/>
      <c r="Q13" s="9" t="s">
        <v>8</v>
      </c>
      <c r="R13" s="9"/>
    </row>
    <row r="14" spans="1:18" ht="91" hidden="1" x14ac:dyDescent="0.35">
      <c r="A14" s="2">
        <v>13</v>
      </c>
      <c r="B14" s="8">
        <v>1000000013</v>
      </c>
      <c r="C14" s="2" t="s">
        <v>42</v>
      </c>
      <c r="D14" s="2" t="s">
        <v>2</v>
      </c>
      <c r="E14" s="2" t="s">
        <v>43</v>
      </c>
      <c r="F14" s="9">
        <v>45962</v>
      </c>
      <c r="G14" s="9">
        <v>45961</v>
      </c>
      <c r="H14" s="2" t="s">
        <v>4</v>
      </c>
      <c r="I14" s="9" t="s">
        <v>5</v>
      </c>
      <c r="J14" s="8">
        <v>90000</v>
      </c>
      <c r="K14" s="2" t="s">
        <v>6</v>
      </c>
      <c r="L14" s="8">
        <f>ROUND(VLOOKUP(F14,'[1]Офіційний курс гривні щодо ...'!$A$466:$G$929,7,)*J14,-3)</f>
        <v>3777000</v>
      </c>
      <c r="M14" s="8">
        <v>3777</v>
      </c>
      <c r="N14" s="9"/>
      <c r="O14" s="9" t="s">
        <v>44</v>
      </c>
      <c r="P14" s="9"/>
      <c r="Q14" s="9" t="s">
        <v>8</v>
      </c>
      <c r="R14" s="9"/>
    </row>
    <row r="15" spans="1:18" ht="91" hidden="1" x14ac:dyDescent="0.35">
      <c r="A15" s="2">
        <v>14</v>
      </c>
      <c r="B15" s="8">
        <v>1000000014</v>
      </c>
      <c r="C15" s="2" t="s">
        <v>45</v>
      </c>
      <c r="D15" s="2" t="s">
        <v>2</v>
      </c>
      <c r="E15" s="2" t="s">
        <v>46</v>
      </c>
      <c r="F15" s="9">
        <v>45962</v>
      </c>
      <c r="G15" s="9">
        <v>45962</v>
      </c>
      <c r="H15" s="2" t="s">
        <v>4</v>
      </c>
      <c r="I15" s="9" t="s">
        <v>5</v>
      </c>
      <c r="J15" s="8">
        <v>499000</v>
      </c>
      <c r="K15" s="2" t="s">
        <v>6</v>
      </c>
      <c r="L15" s="8">
        <f>ROUND(VLOOKUP(F15,'[1]Офіційний курс гривні щодо ...'!$A$466:$G$929,7,)*J15,-3)</f>
        <v>20943000</v>
      </c>
      <c r="M15" s="8">
        <v>11022.631578947368</v>
      </c>
      <c r="N15" s="9"/>
      <c r="O15" s="9" t="s">
        <v>47</v>
      </c>
      <c r="P15" s="9"/>
      <c r="Q15" s="9" t="s">
        <v>8</v>
      </c>
      <c r="R15" s="9"/>
    </row>
    <row r="16" spans="1:18" ht="65" hidden="1" x14ac:dyDescent="0.35">
      <c r="A16" s="2">
        <v>15</v>
      </c>
      <c r="B16" s="8">
        <v>1000000015</v>
      </c>
      <c r="C16" s="2" t="s">
        <v>48</v>
      </c>
      <c r="D16" s="2" t="s">
        <v>2</v>
      </c>
      <c r="E16" s="2" t="s">
        <v>49</v>
      </c>
      <c r="F16" s="9">
        <v>45962</v>
      </c>
      <c r="G16" s="9">
        <v>45962</v>
      </c>
      <c r="H16" s="2" t="s">
        <v>4</v>
      </c>
      <c r="I16" s="9" t="s">
        <v>5</v>
      </c>
      <c r="J16" s="8">
        <v>137000</v>
      </c>
      <c r="K16" s="2" t="s">
        <v>6</v>
      </c>
      <c r="L16" s="8">
        <f>ROUND(VLOOKUP(F16,'[1]Офіційний курс гривні щодо ...'!$A$466:$G$929,7,)*J16,-3)</f>
        <v>5750000</v>
      </c>
      <c r="M16" s="8">
        <v>5750</v>
      </c>
      <c r="N16" s="9"/>
      <c r="O16" s="9" t="s">
        <v>50</v>
      </c>
      <c r="P16" s="9"/>
      <c r="Q16" s="9" t="s">
        <v>8</v>
      </c>
      <c r="R16" s="9"/>
    </row>
    <row r="17" spans="1:18" ht="234" hidden="1" x14ac:dyDescent="0.35">
      <c r="A17" s="2">
        <v>16</v>
      </c>
      <c r="B17" s="8">
        <v>1000000016</v>
      </c>
      <c r="C17" s="2" t="s">
        <v>51</v>
      </c>
      <c r="D17" s="2" t="s">
        <v>2</v>
      </c>
      <c r="E17" s="2" t="s">
        <v>52</v>
      </c>
      <c r="F17" s="9">
        <v>45962</v>
      </c>
      <c r="G17" s="9">
        <v>45961</v>
      </c>
      <c r="H17" s="2" t="s">
        <v>4</v>
      </c>
      <c r="I17" s="9" t="s">
        <v>5</v>
      </c>
      <c r="J17" s="8">
        <v>100000</v>
      </c>
      <c r="K17" s="2" t="s">
        <v>6</v>
      </c>
      <c r="L17" s="8">
        <f>ROUND(VLOOKUP(F17,'[1]Офіційний курс гривні щодо ...'!$A$466:$G$929,7,)*J17,-3)</f>
        <v>4197000</v>
      </c>
      <c r="M17" s="8">
        <v>7428.3185840707965</v>
      </c>
      <c r="N17" s="9"/>
      <c r="O17" s="9" t="s">
        <v>53</v>
      </c>
      <c r="P17" s="9"/>
      <c r="Q17" s="9" t="s">
        <v>8</v>
      </c>
      <c r="R17" s="9"/>
    </row>
    <row r="18" spans="1:18" ht="91" hidden="1" x14ac:dyDescent="0.35">
      <c r="A18" s="2">
        <v>17</v>
      </c>
      <c r="B18" s="8">
        <v>1000000017</v>
      </c>
      <c r="C18" s="2" t="s">
        <v>54</v>
      </c>
      <c r="D18" s="2" t="s">
        <v>2</v>
      </c>
      <c r="E18" s="2" t="s">
        <v>55</v>
      </c>
      <c r="F18" s="9">
        <v>45962</v>
      </c>
      <c r="G18" s="9">
        <v>45961</v>
      </c>
      <c r="H18" s="2" t="s">
        <v>4</v>
      </c>
      <c r="I18" s="9" t="s">
        <v>5</v>
      </c>
      <c r="J18" s="8">
        <v>66000</v>
      </c>
      <c r="K18" s="2" t="s">
        <v>6</v>
      </c>
      <c r="L18" s="8">
        <f>ROUND(VLOOKUP(F18,'[1]Офіційний курс гривні щодо ...'!$A$466:$G$929,7,)*J18,-3)</f>
        <v>2770000</v>
      </c>
      <c r="M18" s="8">
        <v>5517.9282868525906</v>
      </c>
      <c r="N18" s="9"/>
      <c r="O18" s="9" t="s">
        <v>56</v>
      </c>
      <c r="P18" s="9"/>
      <c r="Q18" s="9" t="s">
        <v>8</v>
      </c>
      <c r="R18" s="9"/>
    </row>
    <row r="19" spans="1:18" ht="104" hidden="1" x14ac:dyDescent="0.35">
      <c r="A19" s="2">
        <v>18</v>
      </c>
      <c r="B19" s="8">
        <v>1000000018</v>
      </c>
      <c r="C19" s="2" t="s">
        <v>57</v>
      </c>
      <c r="D19" s="2" t="s">
        <v>2</v>
      </c>
      <c r="E19" s="2" t="s">
        <v>58</v>
      </c>
      <c r="F19" s="9">
        <v>45962</v>
      </c>
      <c r="G19" s="9">
        <v>45962</v>
      </c>
      <c r="H19" s="2" t="s">
        <v>4</v>
      </c>
      <c r="I19" s="9" t="s">
        <v>5</v>
      </c>
      <c r="J19" s="8">
        <v>1800000</v>
      </c>
      <c r="K19" s="2" t="s">
        <v>6</v>
      </c>
      <c r="L19" s="8">
        <f>ROUND(VLOOKUP(F19,'[1]Офіційний курс гривні щодо ...'!$A$466:$G$929,7,)*J19,-3)</f>
        <v>75546000</v>
      </c>
      <c r="M19" s="8">
        <v>5579.8803456680707</v>
      </c>
      <c r="N19" s="9"/>
      <c r="O19" s="9" t="s">
        <v>59</v>
      </c>
      <c r="P19" s="9"/>
      <c r="Q19" s="9" t="s">
        <v>8</v>
      </c>
      <c r="R19" s="9"/>
    </row>
    <row r="20" spans="1:18" ht="104" hidden="1" x14ac:dyDescent="0.35">
      <c r="A20" s="2">
        <v>19</v>
      </c>
      <c r="B20" s="8">
        <v>1000000019</v>
      </c>
      <c r="C20" s="2" t="s">
        <v>60</v>
      </c>
      <c r="D20" s="2" t="s">
        <v>2</v>
      </c>
      <c r="E20" s="2" t="s">
        <v>61</v>
      </c>
      <c r="F20" s="9">
        <v>45962</v>
      </c>
      <c r="G20" s="9">
        <v>45961</v>
      </c>
      <c r="H20" s="2" t="s">
        <v>4</v>
      </c>
      <c r="I20" s="9" t="s">
        <v>5</v>
      </c>
      <c r="J20" s="8">
        <v>120000</v>
      </c>
      <c r="K20" s="2" t="s">
        <v>6</v>
      </c>
      <c r="L20" s="8">
        <f>ROUND(VLOOKUP(F20,'[1]Офіційний курс гривні щодо ...'!$A$466:$G$929,7,)*J20,-3)</f>
        <v>5036000</v>
      </c>
      <c r="M20" s="8">
        <v>5036</v>
      </c>
      <c r="N20" s="9"/>
      <c r="O20" s="9" t="s">
        <v>62</v>
      </c>
      <c r="P20" s="9"/>
      <c r="Q20" s="9" t="s">
        <v>8</v>
      </c>
      <c r="R20" s="9"/>
    </row>
    <row r="21" spans="1:18" ht="52" hidden="1" x14ac:dyDescent="0.35">
      <c r="A21" s="2">
        <v>20</v>
      </c>
      <c r="B21" s="8">
        <v>1000000020</v>
      </c>
      <c r="C21" s="2" t="s">
        <v>63</v>
      </c>
      <c r="D21" s="2" t="s">
        <v>2</v>
      </c>
      <c r="E21" s="2" t="s">
        <v>64</v>
      </c>
      <c r="F21" s="9">
        <v>45962</v>
      </c>
      <c r="G21" s="9">
        <v>45958</v>
      </c>
      <c r="H21" s="2" t="s">
        <v>4</v>
      </c>
      <c r="I21" s="9" t="s">
        <v>5</v>
      </c>
      <c r="J21" s="8">
        <v>34000</v>
      </c>
      <c r="K21" s="2" t="s">
        <v>6</v>
      </c>
      <c r="L21" s="8">
        <f>ROUND(VLOOKUP(F21,'[1]Офіційний курс гривні щодо ...'!$A$466:$G$929,7,)*J21,-3)</f>
        <v>1427000</v>
      </c>
      <c r="M21" s="8">
        <v>3357.6470588235293</v>
      </c>
      <c r="N21" s="9"/>
      <c r="O21" s="9" t="s">
        <v>65</v>
      </c>
      <c r="P21" s="9"/>
      <c r="Q21" s="9" t="s">
        <v>8</v>
      </c>
      <c r="R21" s="9"/>
    </row>
    <row r="22" spans="1:18" ht="65" hidden="1" x14ac:dyDescent="0.35">
      <c r="A22" s="2">
        <v>21</v>
      </c>
      <c r="B22" s="8">
        <v>1000000021</v>
      </c>
      <c r="C22" s="2" t="s">
        <v>66</v>
      </c>
      <c r="D22" s="2" t="s">
        <v>2</v>
      </c>
      <c r="E22" s="2" t="s">
        <v>67</v>
      </c>
      <c r="F22" s="9">
        <v>45962</v>
      </c>
      <c r="G22" s="9">
        <v>45962</v>
      </c>
      <c r="H22" s="2" t="s">
        <v>4</v>
      </c>
      <c r="I22" s="9" t="s">
        <v>5</v>
      </c>
      <c r="J22" s="8">
        <v>33000</v>
      </c>
      <c r="K22" s="2" t="s">
        <v>6</v>
      </c>
      <c r="L22" s="8">
        <f>ROUND(VLOOKUP(F22,'[1]Офіційний курс гривні щодо ...'!$A$466:$G$929,7,)*J22,-3)</f>
        <v>1385000</v>
      </c>
      <c r="M22" s="8">
        <v>3462.5</v>
      </c>
      <c r="N22" s="9"/>
      <c r="O22" s="9" t="s">
        <v>68</v>
      </c>
      <c r="P22" s="9"/>
      <c r="Q22" s="9" t="s">
        <v>8</v>
      </c>
      <c r="R22" s="9"/>
    </row>
    <row r="23" spans="1:18" ht="117" hidden="1" x14ac:dyDescent="0.35">
      <c r="A23" s="2">
        <v>22</v>
      </c>
      <c r="B23" s="8">
        <v>1000000022</v>
      </c>
      <c r="C23" s="2" t="s">
        <v>69</v>
      </c>
      <c r="D23" s="2" t="s">
        <v>2</v>
      </c>
      <c r="E23" s="2" t="s">
        <v>70</v>
      </c>
      <c r="F23" s="9">
        <v>45962</v>
      </c>
      <c r="G23" s="9">
        <v>45962</v>
      </c>
      <c r="H23" s="2" t="s">
        <v>4</v>
      </c>
      <c r="I23" s="9" t="s">
        <v>5</v>
      </c>
      <c r="J23" s="8">
        <v>65000</v>
      </c>
      <c r="K23" s="2" t="s">
        <v>6</v>
      </c>
      <c r="L23" s="8">
        <f>ROUND(VLOOKUP(F23,'[1]Офіційний курс гривні щодо ...'!$A$466:$G$929,7,)*J23,-3)</f>
        <v>2728000</v>
      </c>
      <c r="M23" s="8">
        <v>2728</v>
      </c>
      <c r="N23" s="9"/>
      <c r="O23" s="9" t="s">
        <v>71</v>
      </c>
      <c r="P23" s="9"/>
      <c r="Q23" s="9" t="s">
        <v>8</v>
      </c>
      <c r="R23" s="9"/>
    </row>
    <row r="24" spans="1:18" ht="104" hidden="1" x14ac:dyDescent="0.35">
      <c r="A24" s="2">
        <v>23</v>
      </c>
      <c r="B24" s="8">
        <v>1000000023</v>
      </c>
      <c r="C24" s="2" t="s">
        <v>72</v>
      </c>
      <c r="D24" s="2" t="s">
        <v>2</v>
      </c>
      <c r="E24" s="2" t="s">
        <v>73</v>
      </c>
      <c r="F24" s="9">
        <v>45963</v>
      </c>
      <c r="G24" s="9">
        <v>45944</v>
      </c>
      <c r="H24" s="2" t="s">
        <v>4</v>
      </c>
      <c r="I24" s="9" t="s">
        <v>5</v>
      </c>
      <c r="J24" s="8">
        <v>65000</v>
      </c>
      <c r="K24" s="2" t="s">
        <v>6</v>
      </c>
      <c r="L24" s="8">
        <f>ROUND(VLOOKUP(F24,'[1]Офіційний курс гривні щодо ...'!$A$466:$G$929,7,)*J24,-3)</f>
        <v>2728000</v>
      </c>
      <c r="M24" s="8">
        <v>4687.2852233676977</v>
      </c>
      <c r="N24" s="9"/>
      <c r="O24" s="9" t="s">
        <v>74</v>
      </c>
      <c r="P24" s="9"/>
      <c r="Q24" s="9" t="s">
        <v>8</v>
      </c>
      <c r="R24" s="9"/>
    </row>
    <row r="25" spans="1:18" ht="156" hidden="1" x14ac:dyDescent="0.35">
      <c r="A25" s="2">
        <v>24</v>
      </c>
      <c r="B25" s="8">
        <v>1000000024</v>
      </c>
      <c r="C25" s="2" t="s">
        <v>75</v>
      </c>
      <c r="D25" s="2" t="s">
        <v>2</v>
      </c>
      <c r="E25" s="2" t="s">
        <v>76</v>
      </c>
      <c r="F25" s="9">
        <v>45963</v>
      </c>
      <c r="G25" s="9">
        <v>45957</v>
      </c>
      <c r="H25" s="2" t="s">
        <v>4</v>
      </c>
      <c r="I25" s="9" t="s">
        <v>5</v>
      </c>
      <c r="J25" s="8">
        <v>580000</v>
      </c>
      <c r="K25" s="2" t="s">
        <v>6</v>
      </c>
      <c r="L25" s="8">
        <f>ROUND(VLOOKUP(F25,'[1]Офіційний курс гривні щодо ...'!$A$466:$G$929,7,)*J25,-3)</f>
        <v>24343000</v>
      </c>
      <c r="M25" s="8">
        <v>7782.2890025575443</v>
      </c>
      <c r="N25" s="9"/>
      <c r="O25" s="9" t="s">
        <v>77</v>
      </c>
      <c r="P25" s="9"/>
      <c r="Q25" s="9" t="s">
        <v>8</v>
      </c>
      <c r="R25" s="9"/>
    </row>
    <row r="26" spans="1:18" ht="65" hidden="1" x14ac:dyDescent="0.35">
      <c r="A26" s="2">
        <v>25</v>
      </c>
      <c r="B26" s="8">
        <v>1000000025</v>
      </c>
      <c r="C26" s="2" t="s">
        <v>78</v>
      </c>
      <c r="D26" s="2" t="s">
        <v>2</v>
      </c>
      <c r="E26" s="2" t="s">
        <v>79</v>
      </c>
      <c r="F26" s="9">
        <v>45963</v>
      </c>
      <c r="G26" s="9">
        <v>45944</v>
      </c>
      <c r="H26" s="2" t="s">
        <v>4</v>
      </c>
      <c r="I26" s="9" t="s">
        <v>5</v>
      </c>
      <c r="J26" s="8">
        <v>230000</v>
      </c>
      <c r="K26" s="2" t="s">
        <v>6</v>
      </c>
      <c r="L26" s="8">
        <f>ROUND(VLOOKUP(F26,'[1]Офіційний курс гривні щодо ...'!$A$466:$G$929,7,)*J26,-3)</f>
        <v>9653000</v>
      </c>
      <c r="M26" s="8">
        <v>4826.5</v>
      </c>
      <c r="N26" s="9"/>
      <c r="O26" s="9" t="s">
        <v>80</v>
      </c>
      <c r="P26" s="9"/>
      <c r="Q26" s="9" t="s">
        <v>8</v>
      </c>
      <c r="R26" s="9"/>
    </row>
    <row r="27" spans="1:18" ht="130" hidden="1" x14ac:dyDescent="0.35">
      <c r="A27" s="2">
        <v>26</v>
      </c>
      <c r="B27" s="8">
        <v>1000000026</v>
      </c>
      <c r="C27" s="2" t="s">
        <v>75</v>
      </c>
      <c r="D27" s="2" t="s">
        <v>2</v>
      </c>
      <c r="E27" s="2" t="s">
        <v>81</v>
      </c>
      <c r="F27" s="9">
        <v>45963</v>
      </c>
      <c r="G27" s="9">
        <v>45962</v>
      </c>
      <c r="H27" s="2" t="s">
        <v>4</v>
      </c>
      <c r="I27" s="9" t="s">
        <v>5</v>
      </c>
      <c r="J27" s="8">
        <v>658000</v>
      </c>
      <c r="K27" s="2" t="s">
        <v>6</v>
      </c>
      <c r="L27" s="8">
        <f>ROUND(VLOOKUP(F27,'[1]Офіційний курс гривні щодо ...'!$A$466:$G$929,7,)*J27,-3)</f>
        <v>27616000</v>
      </c>
      <c r="M27" s="8">
        <v>5907.1657754010694</v>
      </c>
      <c r="N27" s="9"/>
      <c r="O27" s="9" t="s">
        <v>82</v>
      </c>
      <c r="P27" s="9"/>
      <c r="Q27" s="9" t="s">
        <v>8</v>
      </c>
      <c r="R27" s="9"/>
    </row>
    <row r="28" spans="1:18" ht="182" hidden="1" x14ac:dyDescent="0.35">
      <c r="A28" s="2">
        <v>27</v>
      </c>
      <c r="B28" s="8">
        <v>1000000027</v>
      </c>
      <c r="C28" s="2" t="s">
        <v>83</v>
      </c>
      <c r="D28" s="2" t="s">
        <v>2</v>
      </c>
      <c r="E28" s="2" t="s">
        <v>84</v>
      </c>
      <c r="F28" s="9">
        <v>45963</v>
      </c>
      <c r="G28" s="9">
        <v>45957</v>
      </c>
      <c r="H28" s="2" t="s">
        <v>4</v>
      </c>
      <c r="I28" s="9" t="s">
        <v>5</v>
      </c>
      <c r="J28" s="8">
        <v>116000</v>
      </c>
      <c r="K28" s="2" t="s">
        <v>6</v>
      </c>
      <c r="L28" s="8">
        <f>ROUND(VLOOKUP(F28,'[1]Офіційний курс гривні щодо ...'!$A$466:$G$929,7,)*J28,-3)</f>
        <v>4869000</v>
      </c>
      <c r="M28" s="8">
        <v>2705</v>
      </c>
      <c r="N28" s="9"/>
      <c r="O28" s="9" t="s">
        <v>85</v>
      </c>
      <c r="P28" s="9"/>
      <c r="Q28" s="9" t="s">
        <v>8</v>
      </c>
      <c r="R28" s="9"/>
    </row>
    <row r="29" spans="1:18" ht="143" hidden="1" x14ac:dyDescent="0.35">
      <c r="A29" s="2">
        <v>28</v>
      </c>
      <c r="B29" s="8">
        <v>1000000028</v>
      </c>
      <c r="C29" s="2" t="s">
        <v>86</v>
      </c>
      <c r="D29" s="2" t="s">
        <v>2</v>
      </c>
      <c r="E29" s="2" t="s">
        <v>87</v>
      </c>
      <c r="F29" s="9">
        <v>45963</v>
      </c>
      <c r="G29" s="9">
        <v>45959</v>
      </c>
      <c r="H29" s="2" t="s">
        <v>4</v>
      </c>
      <c r="I29" s="9" t="s">
        <v>5</v>
      </c>
      <c r="J29" s="8">
        <v>106000</v>
      </c>
      <c r="K29" s="2" t="s">
        <v>6</v>
      </c>
      <c r="L29" s="8">
        <f>ROUND(VLOOKUP(F29,'[1]Офіційний курс гривні щодо ...'!$A$466:$G$929,7,)*J29,-3)</f>
        <v>4449000</v>
      </c>
      <c r="M29" s="8">
        <v>4457.9158316633266</v>
      </c>
      <c r="N29" s="9"/>
      <c r="O29" s="9" t="s">
        <v>88</v>
      </c>
      <c r="P29" s="9"/>
      <c r="Q29" s="9" t="s">
        <v>8</v>
      </c>
      <c r="R29" s="9"/>
    </row>
    <row r="30" spans="1:18" ht="104" hidden="1" x14ac:dyDescent="0.35">
      <c r="A30" s="2">
        <v>29</v>
      </c>
      <c r="B30" s="8">
        <v>1000000029</v>
      </c>
      <c r="C30" s="2" t="s">
        <v>89</v>
      </c>
      <c r="D30" s="2" t="s">
        <v>2</v>
      </c>
      <c r="E30" s="2" t="s">
        <v>90</v>
      </c>
      <c r="F30" s="9">
        <v>45963</v>
      </c>
      <c r="G30" s="9">
        <v>45959</v>
      </c>
      <c r="H30" s="2" t="s">
        <v>4</v>
      </c>
      <c r="I30" s="9" t="s">
        <v>5</v>
      </c>
      <c r="J30" s="8">
        <v>1100000</v>
      </c>
      <c r="K30" s="2" t="s">
        <v>6</v>
      </c>
      <c r="L30" s="8">
        <f>ROUND(VLOOKUP(F30,'[1]Офіційний курс гривні щодо ...'!$A$466:$G$929,7,)*J30,-3)</f>
        <v>46167000</v>
      </c>
      <c r="M30" s="8">
        <v>18466.8</v>
      </c>
      <c r="N30" s="9"/>
      <c r="O30" s="9" t="s">
        <v>91</v>
      </c>
      <c r="P30" s="9"/>
      <c r="Q30" s="9" t="s">
        <v>8</v>
      </c>
      <c r="R30" s="9"/>
    </row>
    <row r="31" spans="1:18" ht="104" hidden="1" x14ac:dyDescent="0.35">
      <c r="A31" s="2">
        <v>30</v>
      </c>
      <c r="B31" s="8">
        <v>1000000030</v>
      </c>
      <c r="C31" s="2" t="s">
        <v>92</v>
      </c>
      <c r="D31" s="2" t="s">
        <v>2</v>
      </c>
      <c r="E31" s="2" t="s">
        <v>93</v>
      </c>
      <c r="F31" s="9">
        <v>45963</v>
      </c>
      <c r="G31" s="9">
        <v>45938</v>
      </c>
      <c r="H31" s="2" t="s">
        <v>4</v>
      </c>
      <c r="I31" s="9" t="s">
        <v>5</v>
      </c>
      <c r="J31" s="8">
        <v>190000</v>
      </c>
      <c r="K31" s="2" t="s">
        <v>6</v>
      </c>
      <c r="L31" s="8">
        <f>ROUND(VLOOKUP(F31,'[1]Офіційний курс гривні щодо ...'!$A$466:$G$929,7,)*J31,-3)</f>
        <v>7974000</v>
      </c>
      <c r="M31" s="8">
        <v>7974</v>
      </c>
      <c r="N31" s="9"/>
      <c r="O31" s="9" t="s">
        <v>94</v>
      </c>
      <c r="P31" s="9"/>
      <c r="Q31" s="9" t="s">
        <v>8</v>
      </c>
      <c r="R31" s="9"/>
    </row>
    <row r="32" spans="1:18" ht="65" hidden="1" x14ac:dyDescent="0.35">
      <c r="A32" s="2">
        <v>31</v>
      </c>
      <c r="B32" s="8">
        <v>1000000031</v>
      </c>
      <c r="C32" s="2" t="s">
        <v>95</v>
      </c>
      <c r="D32" s="2" t="s">
        <v>2</v>
      </c>
      <c r="E32" s="2" t="s">
        <v>96</v>
      </c>
      <c r="F32" s="9">
        <v>45963</v>
      </c>
      <c r="G32" s="9">
        <v>45944</v>
      </c>
      <c r="H32" s="2" t="s">
        <v>4</v>
      </c>
      <c r="I32" s="9" t="s">
        <v>5</v>
      </c>
      <c r="J32" s="8">
        <v>400000</v>
      </c>
      <c r="K32" s="2" t="s">
        <v>6</v>
      </c>
      <c r="L32" s="8">
        <f>ROUND(VLOOKUP(F32,'[1]Офіційний курс гривні щодо ...'!$A$466:$G$929,7,)*J32,-3)</f>
        <v>16788000</v>
      </c>
      <c r="M32" s="8">
        <v>5737.5256322624746</v>
      </c>
      <c r="N32" s="9"/>
      <c r="O32" s="9" t="s">
        <v>97</v>
      </c>
      <c r="P32" s="9"/>
      <c r="Q32" s="9" t="s">
        <v>8</v>
      </c>
      <c r="R32" s="9"/>
    </row>
    <row r="33" spans="1:18" ht="104" hidden="1" x14ac:dyDescent="0.35">
      <c r="A33" s="2">
        <v>32</v>
      </c>
      <c r="B33" s="8">
        <v>1000000032</v>
      </c>
      <c r="C33" s="2" t="s">
        <v>98</v>
      </c>
      <c r="D33" s="2" t="s">
        <v>2</v>
      </c>
      <c r="E33" s="2" t="s">
        <v>99</v>
      </c>
      <c r="F33" s="9">
        <v>45963</v>
      </c>
      <c r="G33" s="9">
        <v>45957</v>
      </c>
      <c r="H33" s="2" t="s">
        <v>4</v>
      </c>
      <c r="I33" s="9" t="s">
        <v>5</v>
      </c>
      <c r="J33" s="8">
        <v>600000</v>
      </c>
      <c r="K33" s="2" t="s">
        <v>6</v>
      </c>
      <c r="L33" s="8">
        <f>ROUND(VLOOKUP(F33,'[1]Офіційний курс гривні щодо ...'!$A$466:$G$929,7,)*J33,-3)</f>
        <v>25182000</v>
      </c>
      <c r="M33" s="8">
        <v>26095.336787564767</v>
      </c>
      <c r="N33" s="9"/>
      <c r="O33" s="9" t="s">
        <v>100</v>
      </c>
      <c r="P33" s="9"/>
      <c r="Q33" s="9" t="s">
        <v>8</v>
      </c>
      <c r="R33" s="9"/>
    </row>
    <row r="34" spans="1:18" ht="156" hidden="1" x14ac:dyDescent="0.35">
      <c r="A34" s="2">
        <v>33</v>
      </c>
      <c r="B34" s="8">
        <v>1000000033</v>
      </c>
      <c r="C34" s="2" t="s">
        <v>101</v>
      </c>
      <c r="D34" s="2" t="s">
        <v>2</v>
      </c>
      <c r="E34" s="2" t="s">
        <v>102</v>
      </c>
      <c r="F34" s="9">
        <v>45963</v>
      </c>
      <c r="G34" s="9">
        <v>45961</v>
      </c>
      <c r="H34" s="2" t="s">
        <v>4</v>
      </c>
      <c r="I34" s="9" t="s">
        <v>5</v>
      </c>
      <c r="J34" s="8">
        <v>85000</v>
      </c>
      <c r="K34" s="2" t="s">
        <v>6</v>
      </c>
      <c r="L34" s="8">
        <f>ROUND(VLOOKUP(F34,'[1]Офіційний курс гривні щодо ...'!$A$466:$G$929,7,)*J34,-3)</f>
        <v>3567000</v>
      </c>
      <c r="M34" s="8">
        <v>3665.9815005138748</v>
      </c>
      <c r="N34" s="9"/>
      <c r="O34" s="9" t="s">
        <v>103</v>
      </c>
      <c r="P34" s="9"/>
      <c r="Q34" s="9" t="s">
        <v>8</v>
      </c>
      <c r="R34" s="9"/>
    </row>
    <row r="35" spans="1:18" ht="52" hidden="1" x14ac:dyDescent="0.35">
      <c r="A35" s="2">
        <v>34</v>
      </c>
      <c r="B35" s="8">
        <v>1000000034</v>
      </c>
      <c r="C35" s="2" t="s">
        <v>104</v>
      </c>
      <c r="D35" s="2" t="s">
        <v>2</v>
      </c>
      <c r="E35" s="2" t="s">
        <v>105</v>
      </c>
      <c r="F35" s="9">
        <v>45963</v>
      </c>
      <c r="G35" s="9">
        <v>45944</v>
      </c>
      <c r="H35" s="2" t="s">
        <v>4</v>
      </c>
      <c r="I35" s="9" t="s">
        <v>5</v>
      </c>
      <c r="J35" s="8">
        <v>90000</v>
      </c>
      <c r="K35" s="2" t="s">
        <v>6</v>
      </c>
      <c r="L35" s="8">
        <f>ROUND(VLOOKUP(F35,'[1]Офіційний курс гривні щодо ...'!$A$466:$G$929,7,)*J35,-3)</f>
        <v>3777000</v>
      </c>
      <c r="M35" s="8">
        <v>2801.9287833827893</v>
      </c>
      <c r="N35" s="9"/>
      <c r="O35" s="9" t="s">
        <v>106</v>
      </c>
      <c r="P35" s="9"/>
      <c r="Q35" s="9" t="s">
        <v>8</v>
      </c>
      <c r="R35" s="9"/>
    </row>
    <row r="36" spans="1:18" ht="130" hidden="1" x14ac:dyDescent="0.35">
      <c r="A36" s="2">
        <v>35</v>
      </c>
      <c r="B36" s="8">
        <v>1000000035</v>
      </c>
      <c r="C36" s="2" t="s">
        <v>107</v>
      </c>
      <c r="D36" s="2" t="s">
        <v>2</v>
      </c>
      <c r="E36" s="2" t="s">
        <v>108</v>
      </c>
      <c r="F36" s="9">
        <v>45963</v>
      </c>
      <c r="G36" s="9">
        <v>45954</v>
      </c>
      <c r="H36" s="2" t="s">
        <v>4</v>
      </c>
      <c r="I36" s="9" t="s">
        <v>5</v>
      </c>
      <c r="J36" s="8">
        <v>550000</v>
      </c>
      <c r="K36" s="2" t="s">
        <v>6</v>
      </c>
      <c r="L36" s="8">
        <f>ROUND(VLOOKUP(F36,'[1]Офіційний курс гривні щодо ...'!$A$466:$G$929,7,)*J36,-3)</f>
        <v>23084000</v>
      </c>
      <c r="M36" s="8">
        <v>18020.296643247468</v>
      </c>
      <c r="N36" s="9"/>
      <c r="O36" s="9" t="s">
        <v>109</v>
      </c>
      <c r="P36" s="9"/>
      <c r="Q36" s="9" t="s">
        <v>8</v>
      </c>
      <c r="R36" s="9"/>
    </row>
    <row r="37" spans="1:18" ht="104" hidden="1" x14ac:dyDescent="0.35">
      <c r="A37" s="2">
        <v>36</v>
      </c>
      <c r="B37" s="8">
        <v>1000000036</v>
      </c>
      <c r="C37" s="2" t="s">
        <v>110</v>
      </c>
      <c r="D37" s="2" t="s">
        <v>2</v>
      </c>
      <c r="E37" s="2" t="s">
        <v>111</v>
      </c>
      <c r="F37" s="9">
        <v>45964</v>
      </c>
      <c r="G37" s="9">
        <v>45960</v>
      </c>
      <c r="H37" s="2" t="s">
        <v>4</v>
      </c>
      <c r="I37" s="9" t="s">
        <v>5</v>
      </c>
      <c r="J37" s="8">
        <v>400000</v>
      </c>
      <c r="K37" s="2" t="s">
        <v>6</v>
      </c>
      <c r="L37" s="8">
        <f>ROUND(VLOOKUP(F37,'[1]Офіційний курс гривні щодо ...'!$A$466:$G$929,7,)*J37,-3)</f>
        <v>16757000</v>
      </c>
      <c r="M37" s="8">
        <v>16757</v>
      </c>
      <c r="N37" s="9"/>
      <c r="O37" s="9" t="s">
        <v>112</v>
      </c>
      <c r="P37" s="9"/>
      <c r="Q37" s="9" t="s">
        <v>8</v>
      </c>
      <c r="R37" s="9"/>
    </row>
    <row r="38" spans="1:18" ht="91" hidden="1" x14ac:dyDescent="0.35">
      <c r="A38" s="2">
        <v>37</v>
      </c>
      <c r="B38" s="8">
        <v>1000000037</v>
      </c>
      <c r="C38" s="2" t="s">
        <v>113</v>
      </c>
      <c r="D38" s="2" t="s">
        <v>2</v>
      </c>
      <c r="E38" s="2" t="s">
        <v>111</v>
      </c>
      <c r="F38" s="9">
        <v>45964</v>
      </c>
      <c r="G38" s="9">
        <v>45940</v>
      </c>
      <c r="H38" s="2" t="s">
        <v>4</v>
      </c>
      <c r="I38" s="9" t="s">
        <v>5</v>
      </c>
      <c r="J38" s="8">
        <v>95000</v>
      </c>
      <c r="K38" s="2" t="s">
        <v>6</v>
      </c>
      <c r="L38" s="8">
        <f>ROUND(VLOOKUP(F38,'[1]Офіційний курс гривні щодо ...'!$A$466:$G$929,7,)*J38,-3)</f>
        <v>3980000</v>
      </c>
      <c r="M38" s="8">
        <v>4422.2222222222226</v>
      </c>
      <c r="N38" s="9"/>
      <c r="O38" s="9" t="s">
        <v>114</v>
      </c>
      <c r="P38" s="9"/>
      <c r="Q38" s="9" t="s">
        <v>8</v>
      </c>
      <c r="R38" s="9"/>
    </row>
    <row r="39" spans="1:18" ht="143" hidden="1" x14ac:dyDescent="0.35">
      <c r="A39" s="2">
        <v>38</v>
      </c>
      <c r="B39" s="8">
        <v>1000000038</v>
      </c>
      <c r="C39" s="2" t="s">
        <v>115</v>
      </c>
      <c r="D39" s="2" t="s">
        <v>2</v>
      </c>
      <c r="E39" s="2" t="s">
        <v>116</v>
      </c>
      <c r="F39" s="9">
        <v>45964</v>
      </c>
      <c r="G39" s="9">
        <v>45935</v>
      </c>
      <c r="H39" s="2" t="s">
        <v>4</v>
      </c>
      <c r="I39" s="9" t="s">
        <v>5</v>
      </c>
      <c r="J39" s="8">
        <v>42500</v>
      </c>
      <c r="K39" s="2" t="s">
        <v>6</v>
      </c>
      <c r="L39" s="8">
        <f>ROUND(VLOOKUP(F39,'[1]Офіційний курс гривні щодо ...'!$A$466:$G$929,7,)*J39,-3)</f>
        <v>1780000</v>
      </c>
      <c r="M39" s="8">
        <v>3090.2777777777778</v>
      </c>
      <c r="N39" s="9"/>
      <c r="O39" s="9" t="s">
        <v>117</v>
      </c>
      <c r="P39" s="9"/>
      <c r="Q39" s="9" t="s">
        <v>8</v>
      </c>
      <c r="R39" s="9"/>
    </row>
    <row r="40" spans="1:18" ht="117" hidden="1" x14ac:dyDescent="0.35">
      <c r="A40" s="2">
        <v>39</v>
      </c>
      <c r="B40" s="8">
        <v>1000000039</v>
      </c>
      <c r="C40" s="2" t="s">
        <v>118</v>
      </c>
      <c r="D40" s="2" t="s">
        <v>2</v>
      </c>
      <c r="E40" s="2" t="s">
        <v>119</v>
      </c>
      <c r="F40" s="9">
        <v>45964</v>
      </c>
      <c r="G40" s="9">
        <v>45961</v>
      </c>
      <c r="H40" s="2" t="s">
        <v>4</v>
      </c>
      <c r="I40" s="9" t="s">
        <v>5</v>
      </c>
      <c r="J40" s="8">
        <v>99999</v>
      </c>
      <c r="K40" s="2" t="s">
        <v>6</v>
      </c>
      <c r="L40" s="8">
        <f>ROUND(VLOOKUP(F40,'[1]Офіційний курс гривні щодо ...'!$A$466:$G$929,7,)*J40,-3)</f>
        <v>4189000</v>
      </c>
      <c r="M40" s="8">
        <v>2204.7368421052633</v>
      </c>
      <c r="N40" s="9"/>
      <c r="O40" s="9" t="s">
        <v>120</v>
      </c>
      <c r="P40" s="9"/>
      <c r="Q40" s="9" t="s">
        <v>8</v>
      </c>
      <c r="R40" s="9"/>
    </row>
    <row r="41" spans="1:18" ht="52" hidden="1" x14ac:dyDescent="0.35">
      <c r="A41" s="2">
        <v>40</v>
      </c>
      <c r="B41" s="8">
        <v>1000000040</v>
      </c>
      <c r="C41" s="2" t="s">
        <v>121</v>
      </c>
      <c r="D41" s="2" t="s">
        <v>2</v>
      </c>
      <c r="E41" s="2" t="s">
        <v>122</v>
      </c>
      <c r="F41" s="9">
        <v>45964</v>
      </c>
      <c r="G41" s="9">
        <v>45948</v>
      </c>
      <c r="H41" s="2" t="s">
        <v>4</v>
      </c>
      <c r="I41" s="9" t="s">
        <v>5</v>
      </c>
      <c r="J41" s="8">
        <v>230000</v>
      </c>
      <c r="K41" s="2" t="s">
        <v>6</v>
      </c>
      <c r="L41" s="8">
        <f>ROUND(VLOOKUP(F41,'[1]Офіційний курс гривні щодо ...'!$A$466:$G$929,7,)*J41,-3)</f>
        <v>9635000</v>
      </c>
      <c r="M41" s="8">
        <v>4817.5</v>
      </c>
      <c r="N41" s="9"/>
      <c r="O41" s="9" t="s">
        <v>123</v>
      </c>
      <c r="P41" s="9"/>
      <c r="Q41" s="9" t="s">
        <v>8</v>
      </c>
      <c r="R41" s="9"/>
    </row>
    <row r="42" spans="1:18" ht="104" hidden="1" x14ac:dyDescent="0.35">
      <c r="A42" s="2">
        <v>41</v>
      </c>
      <c r="B42" s="8">
        <v>1000000041</v>
      </c>
      <c r="C42" s="2" t="s">
        <v>124</v>
      </c>
      <c r="D42" s="2" t="s">
        <v>2</v>
      </c>
      <c r="E42" s="2" t="s">
        <v>125</v>
      </c>
      <c r="F42" s="9">
        <v>45964</v>
      </c>
      <c r="G42" s="9">
        <v>45937</v>
      </c>
      <c r="H42" s="2" t="s">
        <v>4</v>
      </c>
      <c r="I42" s="9" t="s">
        <v>5</v>
      </c>
      <c r="J42" s="8">
        <v>1036018</v>
      </c>
      <c r="K42" s="2" t="s">
        <v>6</v>
      </c>
      <c r="L42" s="8">
        <f>ROUND(VLOOKUP(F42,'[1]Офіційний курс гривні щодо ...'!$A$466:$G$929,7,)*J42,-3)</f>
        <v>43401000</v>
      </c>
      <c r="M42" s="8">
        <v>21700.5</v>
      </c>
      <c r="N42" s="9"/>
      <c r="O42" s="9" t="s">
        <v>126</v>
      </c>
      <c r="P42" s="9"/>
      <c r="Q42" s="9" t="s">
        <v>8</v>
      </c>
      <c r="R42" s="9"/>
    </row>
    <row r="43" spans="1:18" ht="78" hidden="1" x14ac:dyDescent="0.35">
      <c r="A43" s="2">
        <v>42</v>
      </c>
      <c r="B43" s="8">
        <v>1000000042</v>
      </c>
      <c r="C43" s="2" t="s">
        <v>127</v>
      </c>
      <c r="D43" s="2" t="s">
        <v>2</v>
      </c>
      <c r="E43" s="2" t="s">
        <v>128</v>
      </c>
      <c r="F43" s="9">
        <v>45964</v>
      </c>
      <c r="G43" s="9">
        <v>45947</v>
      </c>
      <c r="H43" s="2" t="s">
        <v>4</v>
      </c>
      <c r="I43" s="9" t="s">
        <v>5</v>
      </c>
      <c r="J43" s="8">
        <v>106841</v>
      </c>
      <c r="K43" s="2" t="s">
        <v>6</v>
      </c>
      <c r="L43" s="8">
        <f>ROUND(VLOOKUP(F43,'[1]Офіційний курс гривні щодо ...'!$A$466:$G$929,7,)*J43,-3)</f>
        <v>4476000</v>
      </c>
      <c r="M43" s="8">
        <v>8969.9398797595186</v>
      </c>
      <c r="N43" s="9"/>
      <c r="O43" s="9" t="s">
        <v>129</v>
      </c>
      <c r="P43" s="9"/>
      <c r="Q43" s="9" t="s">
        <v>8</v>
      </c>
      <c r="R43" s="9"/>
    </row>
    <row r="44" spans="1:18" ht="52" hidden="1" x14ac:dyDescent="0.35">
      <c r="A44" s="2">
        <v>43</v>
      </c>
      <c r="B44" s="8">
        <v>1000000043</v>
      </c>
      <c r="C44" s="2" t="s">
        <v>130</v>
      </c>
      <c r="D44" s="2" t="s">
        <v>2</v>
      </c>
      <c r="E44" s="2" t="s">
        <v>131</v>
      </c>
      <c r="F44" s="9">
        <v>45964</v>
      </c>
      <c r="G44" s="9">
        <v>45958</v>
      </c>
      <c r="H44" s="2" t="s">
        <v>4</v>
      </c>
      <c r="I44" s="9" t="s">
        <v>5</v>
      </c>
      <c r="J44" s="8">
        <v>18000</v>
      </c>
      <c r="K44" s="2" t="s">
        <v>6</v>
      </c>
      <c r="L44" s="8">
        <f>ROUND(VLOOKUP(F44,'[1]Офіційний курс гривні щодо ...'!$A$466:$G$929,7,)*J44,-3)</f>
        <v>754000</v>
      </c>
      <c r="M44" s="8">
        <v>1508</v>
      </c>
      <c r="N44" s="9"/>
      <c r="O44" s="9" t="s">
        <v>132</v>
      </c>
      <c r="P44" s="9"/>
      <c r="Q44" s="9" t="s">
        <v>8</v>
      </c>
      <c r="R44" s="9"/>
    </row>
    <row r="45" spans="1:18" ht="130" hidden="1" x14ac:dyDescent="0.35">
      <c r="A45" s="2">
        <v>44</v>
      </c>
      <c r="B45" s="8">
        <v>1000000044</v>
      </c>
      <c r="C45" s="2" t="s">
        <v>133</v>
      </c>
      <c r="D45" s="2" t="s">
        <v>2</v>
      </c>
      <c r="E45" s="2" t="s">
        <v>134</v>
      </c>
      <c r="F45" s="9">
        <v>45964</v>
      </c>
      <c r="G45" s="9">
        <v>45964</v>
      </c>
      <c r="H45" s="2" t="s">
        <v>4</v>
      </c>
      <c r="I45" s="9" t="s">
        <v>5</v>
      </c>
      <c r="J45" s="8">
        <v>47000</v>
      </c>
      <c r="K45" s="2" t="s">
        <v>6</v>
      </c>
      <c r="L45" s="8">
        <f>ROUND(VLOOKUP(F45,'[1]Офіційний курс гривні щодо ...'!$A$466:$G$929,7,)*J45,-3)</f>
        <v>1969000</v>
      </c>
      <c r="M45" s="8">
        <v>2278.9351851851852</v>
      </c>
      <c r="N45" s="9"/>
      <c r="O45" s="9" t="s">
        <v>135</v>
      </c>
      <c r="P45" s="9"/>
      <c r="Q45" s="9" t="s">
        <v>8</v>
      </c>
      <c r="R45" s="9"/>
    </row>
    <row r="46" spans="1:18" ht="91" hidden="1" x14ac:dyDescent="0.35">
      <c r="A46" s="2">
        <v>45</v>
      </c>
      <c r="B46" s="8">
        <v>1000000045</v>
      </c>
      <c r="C46" s="2" t="s">
        <v>136</v>
      </c>
      <c r="D46" s="2" t="s">
        <v>2</v>
      </c>
      <c r="E46" s="2" t="s">
        <v>137</v>
      </c>
      <c r="F46" s="9">
        <v>45964</v>
      </c>
      <c r="G46" s="9">
        <v>45963</v>
      </c>
      <c r="H46" s="2" t="s">
        <v>4</v>
      </c>
      <c r="I46" s="9" t="s">
        <v>5</v>
      </c>
      <c r="J46" s="8">
        <v>35000</v>
      </c>
      <c r="K46" s="2" t="s">
        <v>6</v>
      </c>
      <c r="L46" s="8">
        <f>ROUND(VLOOKUP(F46,'[1]Офіційний курс гривні щодо ...'!$A$466:$G$929,7,)*J46,-3)</f>
        <v>1466000</v>
      </c>
      <c r="M46" s="8">
        <v>1228.83487007544</v>
      </c>
      <c r="N46" s="9"/>
      <c r="O46" s="9" t="s">
        <v>138</v>
      </c>
      <c r="P46" s="9"/>
      <c r="Q46" s="9" t="s">
        <v>8</v>
      </c>
      <c r="R46" s="9"/>
    </row>
    <row r="47" spans="1:18" ht="221" hidden="1" x14ac:dyDescent="0.35">
      <c r="A47" s="2">
        <v>46</v>
      </c>
      <c r="B47" s="8">
        <v>1000000046</v>
      </c>
      <c r="C47" s="2" t="s">
        <v>139</v>
      </c>
      <c r="D47" s="2" t="s">
        <v>2</v>
      </c>
      <c r="E47" s="2" t="s">
        <v>140</v>
      </c>
      <c r="F47" s="9">
        <v>45964</v>
      </c>
      <c r="G47" s="9">
        <v>45963</v>
      </c>
      <c r="H47" s="2" t="s">
        <v>4</v>
      </c>
      <c r="I47" s="9" t="s">
        <v>5</v>
      </c>
      <c r="J47" s="8">
        <v>50000</v>
      </c>
      <c r="K47" s="2" t="s">
        <v>6</v>
      </c>
      <c r="L47" s="8">
        <f>ROUND(VLOOKUP(F47,'[1]Офіційний курс гривні щодо ...'!$A$466:$G$929,7,)*J47,-3)</f>
        <v>2095000</v>
      </c>
      <c r="M47" s="8">
        <v>4676.3392857142853</v>
      </c>
      <c r="N47" s="9"/>
      <c r="O47" s="9" t="s">
        <v>141</v>
      </c>
      <c r="P47" s="9"/>
      <c r="Q47" s="9" t="s">
        <v>8</v>
      </c>
      <c r="R47" s="9"/>
    </row>
    <row r="48" spans="1:18" ht="52" hidden="1" x14ac:dyDescent="0.35">
      <c r="A48" s="2">
        <v>47</v>
      </c>
      <c r="B48" s="8">
        <v>1000000047</v>
      </c>
      <c r="C48" s="2" t="s">
        <v>142</v>
      </c>
      <c r="D48" s="2" t="s">
        <v>2</v>
      </c>
      <c r="E48" s="2" t="s">
        <v>143</v>
      </c>
      <c r="F48" s="9">
        <v>45964</v>
      </c>
      <c r="G48" s="9">
        <v>45959</v>
      </c>
      <c r="H48" s="2" t="s">
        <v>4</v>
      </c>
      <c r="I48" s="9" t="s">
        <v>5</v>
      </c>
      <c r="J48" s="8">
        <v>29000</v>
      </c>
      <c r="K48" s="2" t="s">
        <v>6</v>
      </c>
      <c r="L48" s="8">
        <f>ROUND(VLOOKUP(F48,'[1]Офіційний курс гривні щодо ...'!$A$466:$G$929,7,)*J48,-3)</f>
        <v>1215000</v>
      </c>
      <c r="M48" s="8">
        <v>4050</v>
      </c>
      <c r="N48" s="9"/>
      <c r="O48" s="9" t="s">
        <v>144</v>
      </c>
      <c r="P48" s="9"/>
      <c r="Q48" s="9" t="s">
        <v>8</v>
      </c>
      <c r="R48" s="9"/>
    </row>
    <row r="49" spans="1:18" ht="130" hidden="1" x14ac:dyDescent="0.35">
      <c r="A49" s="2">
        <v>48</v>
      </c>
      <c r="B49" s="8">
        <v>1000000048</v>
      </c>
      <c r="C49" s="2" t="s">
        <v>145</v>
      </c>
      <c r="D49" s="2" t="s">
        <v>146</v>
      </c>
      <c r="E49" s="2" t="s">
        <v>147</v>
      </c>
      <c r="F49" s="9">
        <v>45964</v>
      </c>
      <c r="G49" s="9">
        <v>45936</v>
      </c>
      <c r="H49" s="2" t="s">
        <v>4</v>
      </c>
      <c r="I49" s="9" t="s">
        <v>5</v>
      </c>
      <c r="J49" s="8">
        <v>35000</v>
      </c>
      <c r="K49" s="2" t="s">
        <v>6</v>
      </c>
      <c r="L49" s="8">
        <f>ROUND(VLOOKUP(F49,'[1]Офіційний курс гривні щодо ...'!$A$466:$G$929,7,)*J49,-3)</f>
        <v>1466000</v>
      </c>
      <c r="M49" s="8">
        <v>2781.7836812144214</v>
      </c>
      <c r="N49" s="9"/>
      <c r="O49" s="9" t="s">
        <v>148</v>
      </c>
      <c r="P49" s="9"/>
      <c r="Q49" s="9" t="s">
        <v>8</v>
      </c>
      <c r="R49" s="9"/>
    </row>
    <row r="50" spans="1:18" ht="78" hidden="1" x14ac:dyDescent="0.35">
      <c r="A50" s="2">
        <v>49</v>
      </c>
      <c r="B50" s="8">
        <v>1000000049</v>
      </c>
      <c r="C50" s="2" t="s">
        <v>149</v>
      </c>
      <c r="D50" s="2" t="s">
        <v>146</v>
      </c>
      <c r="E50" s="2" t="s">
        <v>150</v>
      </c>
      <c r="F50" s="9">
        <v>45964</v>
      </c>
      <c r="G50" s="9">
        <v>45907</v>
      </c>
      <c r="H50" s="2" t="s">
        <v>4</v>
      </c>
      <c r="I50" s="9" t="s">
        <v>5</v>
      </c>
      <c r="J50" s="8">
        <v>90999</v>
      </c>
      <c r="K50" s="2" t="s">
        <v>6</v>
      </c>
      <c r="L50" s="8">
        <f>ROUND(VLOOKUP(F50,'[1]Офіційний курс гривні щодо ...'!$A$466:$G$929,7,)*J50,-3)</f>
        <v>3812000</v>
      </c>
      <c r="M50" s="8">
        <v>3812</v>
      </c>
      <c r="N50" s="9"/>
      <c r="O50" s="9" t="s">
        <v>151</v>
      </c>
      <c r="P50" s="9"/>
      <c r="Q50" s="9" t="s">
        <v>8</v>
      </c>
      <c r="R50" s="9"/>
    </row>
    <row r="51" spans="1:18" ht="78" hidden="1" x14ac:dyDescent="0.35">
      <c r="A51" s="2">
        <v>50</v>
      </c>
      <c r="B51" s="8">
        <v>1000000050</v>
      </c>
      <c r="C51" s="2" t="s">
        <v>152</v>
      </c>
      <c r="D51" s="2" t="s">
        <v>2</v>
      </c>
      <c r="E51" s="2" t="s">
        <v>153</v>
      </c>
      <c r="F51" s="9">
        <v>45965</v>
      </c>
      <c r="G51" s="9">
        <v>45965</v>
      </c>
      <c r="H51" s="2" t="s">
        <v>4</v>
      </c>
      <c r="I51" s="9" t="s">
        <v>5</v>
      </c>
      <c r="J51" s="8">
        <v>48000</v>
      </c>
      <c r="K51" s="2" t="s">
        <v>6</v>
      </c>
      <c r="L51" s="8">
        <f>ROUND(VLOOKUP(F51,'[1]Офіційний курс гривні щодо ...'!$A$466:$G$929,7,)*J51,-3)</f>
        <v>2018000</v>
      </c>
      <c r="M51" s="8">
        <v>3693.5353979061433</v>
      </c>
      <c r="N51" s="9"/>
      <c r="O51" s="9" t="s">
        <v>154</v>
      </c>
      <c r="P51" s="9"/>
      <c r="Q51" s="9" t="s">
        <v>8</v>
      </c>
      <c r="R51" s="9"/>
    </row>
    <row r="52" spans="1:18" ht="91" hidden="1" x14ac:dyDescent="0.35">
      <c r="A52" s="2">
        <v>51</v>
      </c>
      <c r="B52" s="8">
        <v>1000000051</v>
      </c>
      <c r="C52" s="2" t="s">
        <v>155</v>
      </c>
      <c r="D52" s="2" t="s">
        <v>2</v>
      </c>
      <c r="E52" s="2" t="s">
        <v>156</v>
      </c>
      <c r="F52" s="9">
        <v>45966</v>
      </c>
      <c r="G52" s="9">
        <v>45966</v>
      </c>
      <c r="H52" s="2" t="s">
        <v>4</v>
      </c>
      <c r="I52" s="9" t="s">
        <v>5</v>
      </c>
      <c r="J52" s="8">
        <v>102000</v>
      </c>
      <c r="K52" s="2" t="s">
        <v>6</v>
      </c>
      <c r="L52" s="8">
        <f>ROUND(VLOOKUP(F52,'[1]Офіційний курс гривні щодо ...'!$A$466:$G$929,7,)*J52,-3)</f>
        <v>4291000</v>
      </c>
      <c r="M52" s="8">
        <v>3575.8333333333335</v>
      </c>
      <c r="N52" s="9"/>
      <c r="O52" s="9" t="s">
        <v>157</v>
      </c>
      <c r="P52" s="9"/>
      <c r="Q52" s="9" t="s">
        <v>8</v>
      </c>
      <c r="R52" s="9"/>
    </row>
    <row r="53" spans="1:18" ht="104" hidden="1" x14ac:dyDescent="0.35">
      <c r="A53" s="2">
        <v>52</v>
      </c>
      <c r="B53" s="8">
        <v>1000000052</v>
      </c>
      <c r="C53" s="2" t="s">
        <v>158</v>
      </c>
      <c r="D53" s="2" t="s">
        <v>2</v>
      </c>
      <c r="E53" s="2" t="s">
        <v>159</v>
      </c>
      <c r="F53" s="9">
        <v>45966</v>
      </c>
      <c r="G53" s="9">
        <v>45939</v>
      </c>
      <c r="H53" s="2" t="s">
        <v>4</v>
      </c>
      <c r="I53" s="9" t="s">
        <v>5</v>
      </c>
      <c r="J53" s="8">
        <v>80000</v>
      </c>
      <c r="K53" s="2" t="s">
        <v>6</v>
      </c>
      <c r="L53" s="8">
        <f>ROUND(VLOOKUP(F53,'[1]Офіційний курс гривні щодо ...'!$A$466:$G$929,7,)*J53,-3)</f>
        <v>3366000</v>
      </c>
      <c r="M53" s="8">
        <v>3366</v>
      </c>
      <c r="N53" s="9"/>
      <c r="O53" s="9" t="s">
        <v>160</v>
      </c>
      <c r="P53" s="9"/>
      <c r="Q53" s="9" t="s">
        <v>8</v>
      </c>
      <c r="R53" s="9"/>
    </row>
    <row r="54" spans="1:18" ht="78" hidden="1" x14ac:dyDescent="0.35">
      <c r="A54" s="2">
        <v>53</v>
      </c>
      <c r="B54" s="8">
        <v>1000000053</v>
      </c>
      <c r="C54" s="2" t="s">
        <v>161</v>
      </c>
      <c r="D54" s="2" t="s">
        <v>2</v>
      </c>
      <c r="E54" s="2" t="s">
        <v>162</v>
      </c>
      <c r="F54" s="9">
        <v>45966</v>
      </c>
      <c r="G54" s="9">
        <v>45939</v>
      </c>
      <c r="H54" s="2" t="s">
        <v>4</v>
      </c>
      <c r="I54" s="9" t="s">
        <v>5</v>
      </c>
      <c r="J54" s="8">
        <v>29900</v>
      </c>
      <c r="K54" s="2" t="s">
        <v>6</v>
      </c>
      <c r="L54" s="8">
        <f>ROUND(VLOOKUP(F54,'[1]Офіційний курс гривні щодо ...'!$A$466:$G$929,7,)*J54,-3)</f>
        <v>1258000</v>
      </c>
      <c r="M54" s="8">
        <v>1342.5827107790824</v>
      </c>
      <c r="N54" s="9"/>
      <c r="O54" s="9" t="s">
        <v>163</v>
      </c>
      <c r="P54" s="9"/>
      <c r="Q54" s="9" t="s">
        <v>8</v>
      </c>
      <c r="R54" s="9"/>
    </row>
    <row r="55" spans="1:18" ht="78" hidden="1" x14ac:dyDescent="0.35">
      <c r="A55" s="2">
        <v>54</v>
      </c>
      <c r="B55" s="8">
        <v>1000000054</v>
      </c>
      <c r="C55" s="2" t="s">
        <v>164</v>
      </c>
      <c r="D55" s="2" t="s">
        <v>2</v>
      </c>
      <c r="E55" s="2" t="s">
        <v>165</v>
      </c>
      <c r="F55" s="9">
        <v>45966</v>
      </c>
      <c r="G55" s="9">
        <v>45959</v>
      </c>
      <c r="H55" s="2" t="s">
        <v>4</v>
      </c>
      <c r="I55" s="9" t="s">
        <v>5</v>
      </c>
      <c r="J55" s="8">
        <v>115000</v>
      </c>
      <c r="K55" s="2" t="s">
        <v>6</v>
      </c>
      <c r="L55" s="8">
        <f>ROUND(VLOOKUP(F55,'[1]Офіційний курс гривні щодо ...'!$A$466:$G$929,7,)*J55,-3)</f>
        <v>4838000</v>
      </c>
      <c r="M55" s="8">
        <v>4838</v>
      </c>
      <c r="N55" s="9"/>
      <c r="O55" s="9" t="s">
        <v>166</v>
      </c>
      <c r="P55" s="9"/>
      <c r="Q55" s="9" t="s">
        <v>8</v>
      </c>
      <c r="R55" s="9"/>
    </row>
    <row r="56" spans="1:18" ht="52" hidden="1" x14ac:dyDescent="0.35">
      <c r="A56" s="2">
        <v>55</v>
      </c>
      <c r="B56" s="8">
        <v>1000000055</v>
      </c>
      <c r="C56" s="2" t="s">
        <v>167</v>
      </c>
      <c r="D56" s="2" t="s">
        <v>2</v>
      </c>
      <c r="E56" s="2" t="s">
        <v>168</v>
      </c>
      <c r="F56" s="9">
        <v>45966</v>
      </c>
      <c r="G56" s="9">
        <v>45965</v>
      </c>
      <c r="H56" s="2" t="s">
        <v>4</v>
      </c>
      <c r="I56" s="9" t="s">
        <v>5</v>
      </c>
      <c r="J56" s="8">
        <v>1999000</v>
      </c>
      <c r="K56" s="2" t="s">
        <v>6</v>
      </c>
      <c r="L56" s="8">
        <f>ROUND(VLOOKUP(F56,'[1]Офіційний курс гривні щодо ...'!$A$466:$G$929,7,)*J56,-3)</f>
        <v>84103000</v>
      </c>
      <c r="M56" s="8">
        <v>56068.666666666664</v>
      </c>
      <c r="N56" s="9"/>
      <c r="O56" s="9" t="s">
        <v>169</v>
      </c>
      <c r="P56" s="9"/>
      <c r="Q56" s="9" t="s">
        <v>8</v>
      </c>
      <c r="R56" s="9"/>
    </row>
    <row r="57" spans="1:18" ht="52" hidden="1" x14ac:dyDescent="0.35">
      <c r="A57" s="2">
        <v>56</v>
      </c>
      <c r="B57" s="8">
        <v>1000000056</v>
      </c>
      <c r="C57" s="2" t="s">
        <v>170</v>
      </c>
      <c r="D57" s="2" t="s">
        <v>2</v>
      </c>
      <c r="E57" s="2" t="s">
        <v>171</v>
      </c>
      <c r="F57" s="9">
        <v>45966</v>
      </c>
      <c r="G57" s="9">
        <v>45940</v>
      </c>
      <c r="H57" s="2" t="s">
        <v>4</v>
      </c>
      <c r="I57" s="9" t="s">
        <v>5</v>
      </c>
      <c r="J57" s="8">
        <v>700000</v>
      </c>
      <c r="K57" s="2" t="s">
        <v>6</v>
      </c>
      <c r="L57" s="8">
        <f>ROUND(VLOOKUP(F57,'[1]Офіційний курс гривні щодо ...'!$A$466:$G$929,7,)*J57,-3)</f>
        <v>29451000</v>
      </c>
      <c r="M57" s="8">
        <v>29451</v>
      </c>
      <c r="N57" s="9"/>
      <c r="O57" s="9" t="s">
        <v>172</v>
      </c>
      <c r="P57" s="9"/>
      <c r="Q57" s="9" t="s">
        <v>8</v>
      </c>
      <c r="R57" s="9"/>
    </row>
    <row r="58" spans="1:18" ht="156" hidden="1" x14ac:dyDescent="0.35">
      <c r="A58" s="2">
        <v>57</v>
      </c>
      <c r="B58" s="8">
        <v>1000000057</v>
      </c>
      <c r="C58" s="2" t="s">
        <v>173</v>
      </c>
      <c r="D58" s="2" t="s">
        <v>2</v>
      </c>
      <c r="E58" s="2" t="s">
        <v>174</v>
      </c>
      <c r="F58" s="9">
        <v>45966</v>
      </c>
      <c r="G58" s="9">
        <v>45964</v>
      </c>
      <c r="H58" s="2" t="s">
        <v>4</v>
      </c>
      <c r="I58" s="9" t="s">
        <v>5</v>
      </c>
      <c r="J58" s="8">
        <v>68000</v>
      </c>
      <c r="K58" s="2" t="s">
        <v>6</v>
      </c>
      <c r="L58" s="8">
        <f>ROUND(VLOOKUP(F58,'[1]Офіційний курс гривні щодо ...'!$A$466:$G$929,7,)*J58,-3)</f>
        <v>2861000</v>
      </c>
      <c r="M58" s="8">
        <v>2967.8423236514523</v>
      </c>
      <c r="N58" s="9"/>
      <c r="O58" s="9" t="s">
        <v>175</v>
      </c>
      <c r="P58" s="9"/>
      <c r="Q58" s="9" t="s">
        <v>8</v>
      </c>
      <c r="R58" s="9"/>
    </row>
    <row r="59" spans="1:18" ht="104" hidden="1" x14ac:dyDescent="0.35">
      <c r="A59" s="2">
        <v>58</v>
      </c>
      <c r="B59" s="8">
        <v>1000000058</v>
      </c>
      <c r="C59" s="2" t="s">
        <v>176</v>
      </c>
      <c r="D59" s="2" t="s">
        <v>2</v>
      </c>
      <c r="E59" s="2" t="s">
        <v>177</v>
      </c>
      <c r="F59" s="9">
        <v>45966</v>
      </c>
      <c r="G59" s="9">
        <v>45944</v>
      </c>
      <c r="H59" s="2" t="s">
        <v>4</v>
      </c>
      <c r="I59" s="9" t="s">
        <v>5</v>
      </c>
      <c r="J59" s="8">
        <v>750000</v>
      </c>
      <c r="K59" s="2" t="s">
        <v>6</v>
      </c>
      <c r="L59" s="8">
        <f>ROUND(VLOOKUP(F59,'[1]Офіційний курс гривні щодо ...'!$A$466:$G$929,7,)*J59,-3)</f>
        <v>31554000</v>
      </c>
      <c r="M59" s="8">
        <v>48619.414483821267</v>
      </c>
      <c r="N59" s="9"/>
      <c r="O59" s="9" t="s">
        <v>178</v>
      </c>
      <c r="P59" s="9"/>
      <c r="Q59" s="9" t="s">
        <v>8</v>
      </c>
      <c r="R59" s="9"/>
    </row>
    <row r="60" spans="1:18" ht="91" hidden="1" x14ac:dyDescent="0.35">
      <c r="A60" s="2">
        <v>59</v>
      </c>
      <c r="B60" s="8">
        <v>1000000059</v>
      </c>
      <c r="C60" s="2" t="s">
        <v>179</v>
      </c>
      <c r="D60" s="2" t="s">
        <v>2</v>
      </c>
      <c r="E60" s="2" t="s">
        <v>180</v>
      </c>
      <c r="F60" s="9">
        <v>45966</v>
      </c>
      <c r="G60" s="9">
        <v>45939</v>
      </c>
      <c r="H60" s="2" t="s">
        <v>4</v>
      </c>
      <c r="I60" s="9" t="s">
        <v>5</v>
      </c>
      <c r="J60" s="8">
        <v>135000</v>
      </c>
      <c r="K60" s="2" t="s">
        <v>6</v>
      </c>
      <c r="L60" s="8">
        <f>ROUND(VLOOKUP(F60,'[1]Офіційний курс гривні щодо ...'!$A$466:$G$929,7,)*J60,-3)</f>
        <v>5680000</v>
      </c>
      <c r="M60" s="8">
        <v>5680</v>
      </c>
      <c r="N60" s="9"/>
      <c r="O60" s="9" t="s">
        <v>181</v>
      </c>
      <c r="P60" s="9"/>
      <c r="Q60" s="9" t="s">
        <v>8</v>
      </c>
      <c r="R60" s="9"/>
    </row>
    <row r="61" spans="1:18" ht="91" hidden="1" x14ac:dyDescent="0.35">
      <c r="A61" s="2">
        <v>60</v>
      </c>
      <c r="B61" s="8">
        <v>1000000060</v>
      </c>
      <c r="C61" s="2" t="s">
        <v>182</v>
      </c>
      <c r="D61" s="2" t="s">
        <v>2</v>
      </c>
      <c r="E61" s="2" t="s">
        <v>183</v>
      </c>
      <c r="F61" s="9">
        <v>45966</v>
      </c>
      <c r="G61" s="9">
        <v>45959</v>
      </c>
      <c r="H61" s="2" t="s">
        <v>4</v>
      </c>
      <c r="I61" s="9" t="s">
        <v>5</v>
      </c>
      <c r="J61" s="8">
        <v>210000</v>
      </c>
      <c r="K61" s="2" t="s">
        <v>6</v>
      </c>
      <c r="L61" s="8">
        <f>ROUND(VLOOKUP(F61,'[1]Офіційний курс гривні щодо ...'!$A$466:$G$929,7,)*J61,-3)</f>
        <v>8835000</v>
      </c>
      <c r="M61" s="8">
        <v>10143.513203214694</v>
      </c>
      <c r="N61" s="9"/>
      <c r="O61" s="9" t="s">
        <v>184</v>
      </c>
      <c r="P61" s="9"/>
      <c r="Q61" s="9" t="s">
        <v>8</v>
      </c>
      <c r="R61" s="9"/>
    </row>
    <row r="62" spans="1:18" ht="143" hidden="1" x14ac:dyDescent="0.35">
      <c r="A62" s="2">
        <v>61</v>
      </c>
      <c r="B62" s="8">
        <v>1000000061</v>
      </c>
      <c r="C62" s="2" t="s">
        <v>185</v>
      </c>
      <c r="D62" s="2" t="s">
        <v>2</v>
      </c>
      <c r="E62" s="2" t="s">
        <v>186</v>
      </c>
      <c r="F62" s="9">
        <v>45966</v>
      </c>
      <c r="G62" s="9">
        <v>45962</v>
      </c>
      <c r="H62" s="2" t="s">
        <v>4</v>
      </c>
      <c r="I62" s="9" t="s">
        <v>5</v>
      </c>
      <c r="J62" s="8">
        <v>12000000</v>
      </c>
      <c r="K62" s="2" t="s">
        <v>6</v>
      </c>
      <c r="L62" s="8">
        <f>ROUND(VLOOKUP(F62,'[1]Офіційний курс гривні щодо ...'!$A$466:$G$929,7,)*J62,-3)</f>
        <v>504870000</v>
      </c>
      <c r="M62" s="8">
        <v>51517.34693877551</v>
      </c>
      <c r="N62" s="9"/>
      <c r="O62" s="9" t="s">
        <v>187</v>
      </c>
      <c r="P62" s="9"/>
      <c r="Q62" s="9" t="s">
        <v>8</v>
      </c>
      <c r="R62" s="9"/>
    </row>
    <row r="63" spans="1:18" ht="117" hidden="1" x14ac:dyDescent="0.35">
      <c r="A63" s="2">
        <v>62</v>
      </c>
      <c r="B63" s="8">
        <v>1000000062</v>
      </c>
      <c r="C63" s="2" t="s">
        <v>188</v>
      </c>
      <c r="D63" s="2" t="s">
        <v>2</v>
      </c>
      <c r="E63" s="2" t="s">
        <v>186</v>
      </c>
      <c r="F63" s="9">
        <v>45966</v>
      </c>
      <c r="G63" s="9">
        <v>45943</v>
      </c>
      <c r="H63" s="2" t="s">
        <v>4</v>
      </c>
      <c r="I63" s="9" t="s">
        <v>5</v>
      </c>
      <c r="J63" s="8">
        <v>1200000</v>
      </c>
      <c r="K63" s="2" t="s">
        <v>6</v>
      </c>
      <c r="L63" s="8">
        <f>ROUND(VLOOKUP(F63,'[1]Офіційний курс гривні щодо ...'!$A$466:$G$929,7,)*J63,-3)</f>
        <v>50487000</v>
      </c>
      <c r="M63" s="8">
        <v>18128.186714542189</v>
      </c>
      <c r="N63" s="9"/>
      <c r="O63" s="9" t="s">
        <v>189</v>
      </c>
      <c r="P63" s="9"/>
      <c r="Q63" s="9" t="s">
        <v>8</v>
      </c>
      <c r="R63" s="9"/>
    </row>
    <row r="64" spans="1:18" ht="325" hidden="1" x14ac:dyDescent="0.35">
      <c r="A64" s="2">
        <v>63</v>
      </c>
      <c r="B64" s="8">
        <v>1000000063</v>
      </c>
      <c r="C64" s="2" t="s">
        <v>190</v>
      </c>
      <c r="D64" s="2" t="s">
        <v>2</v>
      </c>
      <c r="E64" s="2" t="s">
        <v>191</v>
      </c>
      <c r="F64" s="9">
        <v>45966</v>
      </c>
      <c r="G64" s="9">
        <v>45966</v>
      </c>
      <c r="H64" s="2" t="s">
        <v>4</v>
      </c>
      <c r="I64" s="9" t="s">
        <v>5</v>
      </c>
      <c r="J64" s="8">
        <v>1600000</v>
      </c>
      <c r="K64" s="2" t="s">
        <v>6</v>
      </c>
      <c r="L64" s="8">
        <f>ROUND(VLOOKUP(F64,'[1]Офіційний курс гривні щодо ...'!$A$466:$G$929,7,)*J64,-3)</f>
        <v>67316000</v>
      </c>
      <c r="M64" s="8">
        <v>31382.750582750581</v>
      </c>
      <c r="N64" s="9"/>
      <c r="O64" s="9" t="s">
        <v>192</v>
      </c>
      <c r="P64" s="9"/>
      <c r="Q64" s="9" t="s">
        <v>8</v>
      </c>
      <c r="R64" s="9"/>
    </row>
    <row r="65" spans="1:18" ht="65" hidden="1" x14ac:dyDescent="0.35">
      <c r="A65" s="2">
        <v>64</v>
      </c>
      <c r="B65" s="8">
        <v>1000000064</v>
      </c>
      <c r="C65" s="2" t="s">
        <v>193</v>
      </c>
      <c r="D65" s="2" t="s">
        <v>2</v>
      </c>
      <c r="E65" s="2" t="s">
        <v>194</v>
      </c>
      <c r="F65" s="9">
        <v>45966</v>
      </c>
      <c r="G65" s="9">
        <v>45966</v>
      </c>
      <c r="H65" s="2" t="s">
        <v>4</v>
      </c>
      <c r="I65" s="9" t="s">
        <v>5</v>
      </c>
      <c r="J65" s="8">
        <v>130000</v>
      </c>
      <c r="K65" s="2" t="s">
        <v>6</v>
      </c>
      <c r="L65" s="8">
        <f>ROUND(VLOOKUP(F65,'[1]Офіційний курс гривні щодо ...'!$A$466:$G$929,7,)*J65,-3)</f>
        <v>5469000</v>
      </c>
      <c r="M65" s="8">
        <v>9222.5969645868463</v>
      </c>
      <c r="N65" s="9"/>
      <c r="O65" s="9" t="s">
        <v>195</v>
      </c>
      <c r="P65" s="9"/>
      <c r="Q65" s="9" t="s">
        <v>8</v>
      </c>
      <c r="R65" s="9"/>
    </row>
    <row r="66" spans="1:18" ht="117" hidden="1" x14ac:dyDescent="0.35">
      <c r="A66" s="2">
        <v>65</v>
      </c>
      <c r="B66" s="8">
        <v>1000000065</v>
      </c>
      <c r="C66" s="2" t="s">
        <v>196</v>
      </c>
      <c r="D66" s="2" t="s">
        <v>2</v>
      </c>
      <c r="E66" s="2" t="s">
        <v>197</v>
      </c>
      <c r="F66" s="9">
        <v>45966</v>
      </c>
      <c r="G66" s="9">
        <v>45965</v>
      </c>
      <c r="H66" s="2" t="s">
        <v>4</v>
      </c>
      <c r="I66" s="9" t="s">
        <v>5</v>
      </c>
      <c r="J66" s="8">
        <v>370000</v>
      </c>
      <c r="K66" s="2" t="s">
        <v>6</v>
      </c>
      <c r="L66" s="8">
        <f>ROUND(VLOOKUP(F66,'[1]Офіційний курс гривні щодо ...'!$A$466:$G$929,7,)*J66,-3)</f>
        <v>15567000</v>
      </c>
      <c r="M66" s="8">
        <v>15567</v>
      </c>
      <c r="N66" s="9"/>
      <c r="O66" s="9" t="s">
        <v>198</v>
      </c>
      <c r="P66" s="9"/>
      <c r="Q66" s="9" t="s">
        <v>8</v>
      </c>
      <c r="R66" s="9"/>
    </row>
    <row r="67" spans="1:18" ht="65" hidden="1" x14ac:dyDescent="0.35">
      <c r="A67" s="2">
        <v>66</v>
      </c>
      <c r="B67" s="8">
        <v>1000000066</v>
      </c>
      <c r="C67" s="2" t="s">
        <v>199</v>
      </c>
      <c r="D67" s="2" t="s">
        <v>2</v>
      </c>
      <c r="E67" s="2" t="s">
        <v>200</v>
      </c>
      <c r="F67" s="9">
        <v>45966</v>
      </c>
      <c r="G67" s="9">
        <v>45964</v>
      </c>
      <c r="H67" s="2" t="s">
        <v>4</v>
      </c>
      <c r="I67" s="9" t="s">
        <v>5</v>
      </c>
      <c r="J67" s="8">
        <v>110000</v>
      </c>
      <c r="K67" s="2" t="s">
        <v>6</v>
      </c>
      <c r="L67" s="8">
        <f>ROUND(VLOOKUP(F67,'[1]Офіційний курс гривні щодо ...'!$A$466:$G$929,7,)*J67,-3)</f>
        <v>4628000</v>
      </c>
      <c r="M67" s="8">
        <v>7752.093802345059</v>
      </c>
      <c r="N67" s="9"/>
      <c r="O67" s="9" t="s">
        <v>201</v>
      </c>
      <c r="P67" s="9"/>
      <c r="Q67" s="9" t="s">
        <v>8</v>
      </c>
      <c r="R67" s="9"/>
    </row>
    <row r="68" spans="1:18" ht="117" hidden="1" x14ac:dyDescent="0.35">
      <c r="A68" s="2">
        <v>67</v>
      </c>
      <c r="B68" s="8">
        <v>1000000067</v>
      </c>
      <c r="C68" s="2" t="s">
        <v>202</v>
      </c>
      <c r="D68" s="2" t="s">
        <v>2</v>
      </c>
      <c r="E68" s="2" t="s">
        <v>203</v>
      </c>
      <c r="F68" s="9">
        <v>45967</v>
      </c>
      <c r="G68" s="9">
        <v>45963</v>
      </c>
      <c r="H68" s="2" t="s">
        <v>4</v>
      </c>
      <c r="I68" s="9" t="s">
        <v>5</v>
      </c>
      <c r="J68" s="8">
        <v>150000</v>
      </c>
      <c r="K68" s="2" t="s">
        <v>6</v>
      </c>
      <c r="L68" s="8">
        <f>ROUND(VLOOKUP(F68,'[1]Офіційний курс гривні щодо ...'!$A$466:$G$929,7,)*J68,-3)</f>
        <v>6310000</v>
      </c>
      <c r="M68" s="8">
        <v>10412.541254125412</v>
      </c>
      <c r="N68" s="9"/>
      <c r="O68" s="9" t="s">
        <v>204</v>
      </c>
      <c r="P68" s="9"/>
      <c r="Q68" s="9" t="s">
        <v>8</v>
      </c>
      <c r="R68" s="9"/>
    </row>
    <row r="69" spans="1:18" ht="104" hidden="1" x14ac:dyDescent="0.35">
      <c r="A69" s="2">
        <v>68</v>
      </c>
      <c r="B69" s="8">
        <v>1000000068</v>
      </c>
      <c r="C69" s="2" t="s">
        <v>205</v>
      </c>
      <c r="D69" s="2" t="s">
        <v>2</v>
      </c>
      <c r="E69" s="2" t="s">
        <v>206</v>
      </c>
      <c r="F69" s="9">
        <v>45967</v>
      </c>
      <c r="G69" s="9">
        <v>45946</v>
      </c>
      <c r="H69" s="2" t="s">
        <v>4</v>
      </c>
      <c r="I69" s="9" t="s">
        <v>5</v>
      </c>
      <c r="J69" s="8">
        <v>55000</v>
      </c>
      <c r="K69" s="2" t="s">
        <v>6</v>
      </c>
      <c r="L69" s="8">
        <f>ROUND(VLOOKUP(F69,'[1]Офіційний курс гривні щодо ...'!$A$466:$G$929,7,)*J69,-3)</f>
        <v>2314000</v>
      </c>
      <c r="M69" s="8">
        <v>4493.2038834951454</v>
      </c>
      <c r="N69" s="9"/>
      <c r="O69" s="9" t="s">
        <v>207</v>
      </c>
      <c r="P69" s="9"/>
      <c r="Q69" s="9" t="s">
        <v>8</v>
      </c>
      <c r="R69" s="9"/>
    </row>
    <row r="70" spans="1:18" ht="143" hidden="1" x14ac:dyDescent="0.35">
      <c r="A70" s="2">
        <v>69</v>
      </c>
      <c r="B70" s="8">
        <v>1000000069</v>
      </c>
      <c r="C70" s="2" t="s">
        <v>208</v>
      </c>
      <c r="D70" s="2" t="s">
        <v>2</v>
      </c>
      <c r="E70" s="2" t="s">
        <v>209</v>
      </c>
      <c r="F70" s="9">
        <v>45967</v>
      </c>
      <c r="G70" s="9">
        <v>45951</v>
      </c>
      <c r="H70" s="2" t="s">
        <v>4</v>
      </c>
      <c r="I70" s="9" t="s">
        <v>5</v>
      </c>
      <c r="J70" s="8">
        <v>169990</v>
      </c>
      <c r="K70" s="2" t="s">
        <v>6</v>
      </c>
      <c r="L70" s="8">
        <f>ROUND(VLOOKUP(F70,'[1]Офіційний курс гривні щодо ...'!$A$466:$G$929,7,)*J70,-3)</f>
        <v>7151000</v>
      </c>
      <c r="M70" s="8">
        <v>3955.1991150442482</v>
      </c>
      <c r="N70" s="9"/>
      <c r="O70" s="9" t="s">
        <v>210</v>
      </c>
      <c r="P70" s="9"/>
      <c r="Q70" s="9" t="s">
        <v>8</v>
      </c>
      <c r="R70" s="9"/>
    </row>
    <row r="71" spans="1:18" ht="104" hidden="1" x14ac:dyDescent="0.35">
      <c r="A71" s="2">
        <v>70</v>
      </c>
      <c r="B71" s="8">
        <v>1000000070</v>
      </c>
      <c r="C71" s="2" t="s">
        <v>211</v>
      </c>
      <c r="D71" s="2" t="s">
        <v>2</v>
      </c>
      <c r="E71" s="2" t="s">
        <v>212</v>
      </c>
      <c r="F71" s="9">
        <v>45967</v>
      </c>
      <c r="G71" s="9">
        <v>45957</v>
      </c>
      <c r="H71" s="2" t="s">
        <v>4</v>
      </c>
      <c r="I71" s="9" t="s">
        <v>5</v>
      </c>
      <c r="J71" s="8">
        <v>108000</v>
      </c>
      <c r="K71" s="2" t="s">
        <v>6</v>
      </c>
      <c r="L71" s="8">
        <f>ROUND(VLOOKUP(F71,'[1]Офіційний курс гривні щодо ...'!$A$466:$G$929,7,)*J71,-3)</f>
        <v>4543000</v>
      </c>
      <c r="M71" s="8">
        <v>5721.662468513854</v>
      </c>
      <c r="N71" s="9"/>
      <c r="O71" s="9" t="s">
        <v>213</v>
      </c>
      <c r="P71" s="9"/>
      <c r="Q71" s="9" t="s">
        <v>8</v>
      </c>
      <c r="R71" s="9"/>
    </row>
    <row r="72" spans="1:18" ht="52" hidden="1" x14ac:dyDescent="0.35">
      <c r="A72" s="2">
        <v>71</v>
      </c>
      <c r="B72" s="8">
        <v>1000000071</v>
      </c>
      <c r="C72" s="2" t="s">
        <v>214</v>
      </c>
      <c r="D72" s="2" t="s">
        <v>2</v>
      </c>
      <c r="E72" s="2" t="s">
        <v>215</v>
      </c>
      <c r="F72" s="9">
        <v>45967</v>
      </c>
      <c r="G72" s="9">
        <v>45967</v>
      </c>
      <c r="H72" s="2" t="s">
        <v>4</v>
      </c>
      <c r="I72" s="9" t="s">
        <v>5</v>
      </c>
      <c r="J72" s="8">
        <v>48000</v>
      </c>
      <c r="K72" s="2" t="s">
        <v>6</v>
      </c>
      <c r="L72" s="8">
        <f>ROUND(VLOOKUP(F72,'[1]Офіційний курс гривні щодо ...'!$A$466:$G$929,7,)*J72,-3)</f>
        <v>2019000</v>
      </c>
      <c r="M72" s="8">
        <v>3365</v>
      </c>
      <c r="N72" s="9"/>
      <c r="O72" s="9" t="s">
        <v>216</v>
      </c>
      <c r="P72" s="9"/>
      <c r="Q72" s="9" t="s">
        <v>8</v>
      </c>
      <c r="R72" s="9"/>
    </row>
    <row r="73" spans="1:18" ht="182" hidden="1" x14ac:dyDescent="0.35">
      <c r="A73" s="2">
        <v>72</v>
      </c>
      <c r="B73" s="8">
        <v>1000000072</v>
      </c>
      <c r="C73" s="2" t="s">
        <v>217</v>
      </c>
      <c r="D73" s="2" t="s">
        <v>2</v>
      </c>
      <c r="E73" s="2" t="s">
        <v>218</v>
      </c>
      <c r="F73" s="9">
        <v>45967</v>
      </c>
      <c r="G73" s="9">
        <v>45966</v>
      </c>
      <c r="H73" s="2" t="s">
        <v>4</v>
      </c>
      <c r="I73" s="9" t="s">
        <v>5</v>
      </c>
      <c r="J73" s="8">
        <v>33500</v>
      </c>
      <c r="K73" s="2" t="s">
        <v>6</v>
      </c>
      <c r="L73" s="8">
        <f>ROUND(VLOOKUP(F73,'[1]Офіційний курс гривні щодо ...'!$A$466:$G$929,7,)*J73,-3)</f>
        <v>1409000</v>
      </c>
      <c r="M73" s="8">
        <v>1909.2140921409214</v>
      </c>
      <c r="N73" s="9"/>
      <c r="O73" s="9" t="s">
        <v>219</v>
      </c>
      <c r="P73" s="9"/>
      <c r="Q73" s="9" t="s">
        <v>8</v>
      </c>
      <c r="R73" s="9"/>
    </row>
    <row r="74" spans="1:18" ht="52" hidden="1" x14ac:dyDescent="0.35">
      <c r="A74" s="2">
        <v>73</v>
      </c>
      <c r="B74" s="8">
        <v>1000000073</v>
      </c>
      <c r="C74" s="2" t="s">
        <v>220</v>
      </c>
      <c r="D74" s="2" t="s">
        <v>2</v>
      </c>
      <c r="E74" s="2" t="s">
        <v>221</v>
      </c>
      <c r="F74" s="9">
        <v>45967</v>
      </c>
      <c r="G74" s="9">
        <v>45966</v>
      </c>
      <c r="H74" s="2" t="s">
        <v>4</v>
      </c>
      <c r="I74" s="9" t="s">
        <v>5</v>
      </c>
      <c r="J74" s="8">
        <v>750000</v>
      </c>
      <c r="K74" s="2" t="s">
        <v>6</v>
      </c>
      <c r="L74" s="8">
        <f>ROUND(VLOOKUP(F74,'[1]Офіційний курс гривні щодо ...'!$A$466:$G$929,7,)*J74,-3)</f>
        <v>31550000</v>
      </c>
      <c r="M74" s="8">
        <v>31487.025948103794</v>
      </c>
      <c r="N74" s="9"/>
      <c r="O74" s="9" t="s">
        <v>222</v>
      </c>
      <c r="P74" s="9"/>
      <c r="Q74" s="9" t="s">
        <v>8</v>
      </c>
      <c r="R74" s="9"/>
    </row>
    <row r="75" spans="1:18" ht="143" hidden="1" x14ac:dyDescent="0.35">
      <c r="A75" s="2">
        <v>74</v>
      </c>
      <c r="B75" s="8">
        <v>1000000074</v>
      </c>
      <c r="C75" s="2" t="s">
        <v>223</v>
      </c>
      <c r="D75" s="2" t="s">
        <v>2</v>
      </c>
      <c r="E75" s="2" t="s">
        <v>224</v>
      </c>
      <c r="F75" s="9">
        <v>45967</v>
      </c>
      <c r="G75" s="9">
        <v>45961</v>
      </c>
      <c r="H75" s="2" t="s">
        <v>4</v>
      </c>
      <c r="I75" s="9" t="s">
        <v>5</v>
      </c>
      <c r="J75" s="8">
        <v>119000</v>
      </c>
      <c r="K75" s="2" t="s">
        <v>6</v>
      </c>
      <c r="L75" s="8">
        <f>ROUND(VLOOKUP(F75,'[1]Офіційний курс гривні щодо ...'!$A$466:$G$929,7,)*J75,-3)</f>
        <v>5006000</v>
      </c>
      <c r="M75" s="8">
        <v>5525.386313465784</v>
      </c>
      <c r="N75" s="9"/>
      <c r="O75" s="9" t="s">
        <v>225</v>
      </c>
      <c r="P75" s="9"/>
      <c r="Q75" s="9" t="s">
        <v>8</v>
      </c>
      <c r="R75" s="9"/>
    </row>
    <row r="76" spans="1:18" ht="156" hidden="1" x14ac:dyDescent="0.35">
      <c r="A76" s="2">
        <v>75</v>
      </c>
      <c r="B76" s="8">
        <v>1000000075</v>
      </c>
      <c r="C76" s="2" t="s">
        <v>226</v>
      </c>
      <c r="D76" s="2" t="s">
        <v>2</v>
      </c>
      <c r="E76" s="2" t="s">
        <v>227</v>
      </c>
      <c r="F76" s="9">
        <v>45967</v>
      </c>
      <c r="G76" s="9">
        <v>45966</v>
      </c>
      <c r="H76" s="2" t="s">
        <v>4</v>
      </c>
      <c r="I76" s="9" t="s">
        <v>5</v>
      </c>
      <c r="J76" s="8">
        <v>178000</v>
      </c>
      <c r="K76" s="2" t="s">
        <v>6</v>
      </c>
      <c r="L76" s="8">
        <f>ROUND(VLOOKUP(F76,'[1]Офіційний курс гривні щодо ...'!$A$466:$G$929,7,)*J76,-3)</f>
        <v>7488000</v>
      </c>
      <c r="M76" s="8">
        <v>8978.4172661870507</v>
      </c>
      <c r="N76" s="9"/>
      <c r="O76" s="9" t="s">
        <v>228</v>
      </c>
      <c r="P76" s="9"/>
      <c r="Q76" s="9" t="s">
        <v>8</v>
      </c>
      <c r="R76" s="9"/>
    </row>
    <row r="77" spans="1:18" ht="78" hidden="1" x14ac:dyDescent="0.35">
      <c r="A77" s="2">
        <v>76</v>
      </c>
      <c r="B77" s="8">
        <v>1000000076</v>
      </c>
      <c r="C77" s="2" t="s">
        <v>229</v>
      </c>
      <c r="D77" s="2" t="s">
        <v>2</v>
      </c>
      <c r="E77" s="2" t="s">
        <v>230</v>
      </c>
      <c r="F77" s="9">
        <v>45967</v>
      </c>
      <c r="G77" s="9">
        <v>45967</v>
      </c>
      <c r="H77" s="2" t="s">
        <v>4</v>
      </c>
      <c r="I77" s="9" t="s">
        <v>5</v>
      </c>
      <c r="J77" s="8">
        <v>650000</v>
      </c>
      <c r="K77" s="2" t="s">
        <v>6</v>
      </c>
      <c r="L77" s="8">
        <f>ROUND(VLOOKUP(F77,'[1]Офіційний курс гривні щодо ...'!$A$466:$G$929,7,)*J77,-3)</f>
        <v>27344000</v>
      </c>
      <c r="M77" s="8">
        <v>27344</v>
      </c>
      <c r="N77" s="9"/>
      <c r="O77" s="9" t="s">
        <v>231</v>
      </c>
      <c r="P77" s="9"/>
      <c r="Q77" s="9" t="s">
        <v>8</v>
      </c>
      <c r="R77" s="9"/>
    </row>
    <row r="78" spans="1:18" ht="39" hidden="1" x14ac:dyDescent="0.35">
      <c r="A78" s="2">
        <v>77</v>
      </c>
      <c r="B78" s="8">
        <v>1000000077</v>
      </c>
      <c r="C78" s="2" t="s">
        <v>232</v>
      </c>
      <c r="D78" s="2" t="s">
        <v>2</v>
      </c>
      <c r="E78" s="2" t="s">
        <v>233</v>
      </c>
      <c r="F78" s="9">
        <v>45967</v>
      </c>
      <c r="G78" s="9">
        <v>45946</v>
      </c>
      <c r="H78" s="2" t="s">
        <v>4</v>
      </c>
      <c r="I78" s="9" t="s">
        <v>5</v>
      </c>
      <c r="J78" s="8">
        <v>360000</v>
      </c>
      <c r="K78" s="2" t="s">
        <v>6</v>
      </c>
      <c r="L78" s="8">
        <f>ROUND(VLOOKUP(F78,'[1]Офіційний курс гривні щодо ...'!$A$466:$G$929,7,)*J78,-3)</f>
        <v>15144000</v>
      </c>
      <c r="M78" s="8">
        <v>24038.095238095237</v>
      </c>
      <c r="N78" s="9"/>
      <c r="O78" s="9" t="s">
        <v>234</v>
      </c>
      <c r="P78" s="9"/>
      <c r="Q78" s="9" t="s">
        <v>8</v>
      </c>
      <c r="R78" s="9"/>
    </row>
    <row r="79" spans="1:18" ht="65" hidden="1" x14ac:dyDescent="0.35">
      <c r="A79" s="2">
        <v>78</v>
      </c>
      <c r="B79" s="8">
        <v>1000000078</v>
      </c>
      <c r="C79" s="2" t="s">
        <v>235</v>
      </c>
      <c r="D79" s="2" t="s">
        <v>2</v>
      </c>
      <c r="E79" s="2" t="s">
        <v>236</v>
      </c>
      <c r="F79" s="9">
        <v>45970</v>
      </c>
      <c r="G79" s="9">
        <v>45966</v>
      </c>
      <c r="H79" s="2" t="s">
        <v>4</v>
      </c>
      <c r="I79" s="9" t="s">
        <v>5</v>
      </c>
      <c r="J79" s="8">
        <v>52000</v>
      </c>
      <c r="K79" s="2" t="s">
        <v>6</v>
      </c>
      <c r="L79" s="8">
        <f>ROUND(VLOOKUP(F79,'[1]Офіційний курс гривні щодо ...'!$A$466:$G$929,7,)*J79,-3)</f>
        <v>2188000</v>
      </c>
      <c r="M79" s="8">
        <v>2805.1282051282051</v>
      </c>
      <c r="N79" s="9"/>
      <c r="O79" s="9" t="s">
        <v>237</v>
      </c>
      <c r="P79" s="9"/>
      <c r="Q79" s="9" t="s">
        <v>8</v>
      </c>
      <c r="R79" s="9"/>
    </row>
    <row r="80" spans="1:18" ht="65" hidden="1" x14ac:dyDescent="0.35">
      <c r="A80" s="2">
        <v>79</v>
      </c>
      <c r="B80" s="8">
        <v>1000000079</v>
      </c>
      <c r="C80" s="2" t="s">
        <v>238</v>
      </c>
      <c r="D80" s="2" t="s">
        <v>2</v>
      </c>
      <c r="E80" s="2" t="s">
        <v>239</v>
      </c>
      <c r="F80" s="9">
        <v>45970</v>
      </c>
      <c r="G80" s="9">
        <v>45968</v>
      </c>
      <c r="H80" s="2" t="s">
        <v>4</v>
      </c>
      <c r="I80" s="9" t="s">
        <v>5</v>
      </c>
      <c r="J80" s="8">
        <v>130000</v>
      </c>
      <c r="K80" s="2" t="s">
        <v>6</v>
      </c>
      <c r="L80" s="8">
        <f>ROUND(VLOOKUP(F80,'[1]Офіційний курс гривні щодо ...'!$A$466:$G$929,7,)*J80,-3)</f>
        <v>5471000</v>
      </c>
      <c r="M80" s="8">
        <v>5416.8316831683169</v>
      </c>
      <c r="N80" s="9"/>
      <c r="O80" s="9" t="s">
        <v>240</v>
      </c>
      <c r="P80" s="9"/>
      <c r="Q80" s="9" t="s">
        <v>8</v>
      </c>
      <c r="R80" s="9"/>
    </row>
    <row r="81" spans="1:18" ht="104" hidden="1" x14ac:dyDescent="0.35">
      <c r="A81" s="2">
        <v>80</v>
      </c>
      <c r="B81" s="8">
        <v>1000000080</v>
      </c>
      <c r="C81" s="2" t="s">
        <v>241</v>
      </c>
      <c r="D81" s="2" t="s">
        <v>2</v>
      </c>
      <c r="E81" s="2" t="s">
        <v>242</v>
      </c>
      <c r="F81" s="9">
        <v>45970</v>
      </c>
      <c r="G81" s="9">
        <v>45946</v>
      </c>
      <c r="H81" s="2" t="s">
        <v>4</v>
      </c>
      <c r="I81" s="2" t="s">
        <v>243</v>
      </c>
      <c r="J81" s="8">
        <v>41209</v>
      </c>
      <c r="K81" s="2" t="s">
        <v>6</v>
      </c>
      <c r="L81" s="8">
        <f>ROUND(VLOOKUP(F81,'[1]Офіційний курс гривні щодо ...'!$A$466:$G$929,7,)*J81,-3)</f>
        <v>1734000</v>
      </c>
      <c r="M81" s="8">
        <v>2722.1350078492937</v>
      </c>
      <c r="N81" s="9"/>
      <c r="O81" s="9" t="s">
        <v>244</v>
      </c>
      <c r="P81" s="9"/>
      <c r="Q81" s="9" t="s">
        <v>8</v>
      </c>
      <c r="R81" s="9"/>
    </row>
    <row r="82" spans="1:18" ht="78" hidden="1" x14ac:dyDescent="0.35">
      <c r="A82" s="2">
        <v>81</v>
      </c>
      <c r="B82" s="8">
        <v>1000000081</v>
      </c>
      <c r="C82" s="2" t="s">
        <v>245</v>
      </c>
      <c r="D82" s="2" t="s">
        <v>2</v>
      </c>
      <c r="E82" s="2" t="s">
        <v>246</v>
      </c>
      <c r="F82" s="9">
        <v>45970</v>
      </c>
      <c r="G82" s="9">
        <v>45966</v>
      </c>
      <c r="H82" s="2" t="s">
        <v>4</v>
      </c>
      <c r="I82" s="2" t="s">
        <v>5</v>
      </c>
      <c r="J82" s="8">
        <v>900000</v>
      </c>
      <c r="K82" s="2" t="s">
        <v>6</v>
      </c>
      <c r="L82" s="8">
        <f>ROUND(VLOOKUP(F82,'[1]Офіційний курс гривні щодо ...'!$A$466:$G$929,7,)*J82,-3)</f>
        <v>37875000</v>
      </c>
      <c r="M82" s="8">
        <v>37308.65462282551</v>
      </c>
      <c r="N82" s="9"/>
      <c r="O82" s="9" t="s">
        <v>247</v>
      </c>
      <c r="P82" s="9"/>
      <c r="Q82" s="9" t="s">
        <v>8</v>
      </c>
      <c r="R82" s="9"/>
    </row>
    <row r="83" spans="1:18" ht="182" hidden="1" x14ac:dyDescent="0.35">
      <c r="A83" s="2">
        <v>82</v>
      </c>
      <c r="B83" s="8">
        <v>1000000082</v>
      </c>
      <c r="C83" s="2" t="s">
        <v>248</v>
      </c>
      <c r="D83" s="2" t="s">
        <v>2</v>
      </c>
      <c r="E83" s="2" t="s">
        <v>249</v>
      </c>
      <c r="F83" s="9">
        <v>45970</v>
      </c>
      <c r="G83" s="9">
        <v>45959</v>
      </c>
      <c r="H83" s="2" t="s">
        <v>4</v>
      </c>
      <c r="I83" s="2" t="s">
        <v>5</v>
      </c>
      <c r="J83" s="8">
        <v>62000</v>
      </c>
      <c r="K83" s="2" t="s">
        <v>6</v>
      </c>
      <c r="L83" s="8">
        <f>ROUND(VLOOKUP(F83,'[1]Офіційний курс гривні щодо ...'!$A$466:$G$929,7,)*J83,-3)</f>
        <v>2609000</v>
      </c>
      <c r="M83" s="8">
        <v>4529.5138888888887</v>
      </c>
      <c r="N83" s="9"/>
      <c r="O83" s="9" t="s">
        <v>250</v>
      </c>
      <c r="P83" s="9"/>
      <c r="Q83" s="9" t="s">
        <v>8</v>
      </c>
      <c r="R83" s="9"/>
    </row>
    <row r="84" spans="1:18" ht="104" hidden="1" x14ac:dyDescent="0.35">
      <c r="A84" s="2">
        <v>83</v>
      </c>
      <c r="B84" s="8">
        <v>1000000083</v>
      </c>
      <c r="C84" s="2" t="s">
        <v>251</v>
      </c>
      <c r="D84" s="2" t="s">
        <v>2</v>
      </c>
      <c r="E84" s="2" t="s">
        <v>252</v>
      </c>
      <c r="F84" s="9">
        <v>45970</v>
      </c>
      <c r="G84" s="9">
        <v>45968</v>
      </c>
      <c r="H84" s="2" t="s">
        <v>4</v>
      </c>
      <c r="I84" s="2" t="s">
        <v>5</v>
      </c>
      <c r="J84" s="8">
        <v>1200000</v>
      </c>
      <c r="K84" s="2" t="s">
        <v>6</v>
      </c>
      <c r="L84" s="8">
        <f>ROUND(VLOOKUP(F84,'[1]Офіційний курс гривні щодо ...'!$A$466:$G$929,7,)*J84,-3)</f>
        <v>50500000</v>
      </c>
      <c r="M84" s="8">
        <v>10100</v>
      </c>
      <c r="N84" s="9"/>
      <c r="O84" s="9" t="s">
        <v>253</v>
      </c>
      <c r="P84" s="9"/>
      <c r="Q84" s="9" t="s">
        <v>8</v>
      </c>
      <c r="R84" s="9"/>
    </row>
    <row r="85" spans="1:18" ht="65" hidden="1" x14ac:dyDescent="0.35">
      <c r="A85" s="2">
        <v>84</v>
      </c>
      <c r="B85" s="8">
        <v>1000000084</v>
      </c>
      <c r="C85" s="2" t="s">
        <v>254</v>
      </c>
      <c r="D85" s="2" t="s">
        <v>2</v>
      </c>
      <c r="E85" s="2" t="s">
        <v>255</v>
      </c>
      <c r="F85" s="9">
        <v>45971</v>
      </c>
      <c r="G85" s="9">
        <v>45944</v>
      </c>
      <c r="H85" s="2" t="s">
        <v>4</v>
      </c>
      <c r="I85" s="2" t="s">
        <v>5</v>
      </c>
      <c r="J85" s="8">
        <v>100000</v>
      </c>
      <c r="K85" s="2" t="s">
        <v>6</v>
      </c>
      <c r="L85" s="8">
        <f>ROUND(VLOOKUP(F85,'[1]Офіційний курс гривні щодо ...'!$A$466:$G$929,7,)*J85,-3)</f>
        <v>4198000</v>
      </c>
      <c r="M85" s="8">
        <v>4198</v>
      </c>
      <c r="N85" s="9"/>
      <c r="O85" s="9" t="s">
        <v>256</v>
      </c>
      <c r="P85" s="9"/>
      <c r="Q85" s="9" t="s">
        <v>8</v>
      </c>
      <c r="R85" s="9"/>
    </row>
    <row r="86" spans="1:18" ht="104" hidden="1" x14ac:dyDescent="0.35">
      <c r="A86" s="2">
        <v>85</v>
      </c>
      <c r="B86" s="8">
        <v>1000000085</v>
      </c>
      <c r="C86" s="2" t="s">
        <v>257</v>
      </c>
      <c r="D86" s="2" t="s">
        <v>2</v>
      </c>
      <c r="E86" s="2" t="s">
        <v>258</v>
      </c>
      <c r="F86" s="9">
        <v>45971</v>
      </c>
      <c r="G86" s="9">
        <v>45967</v>
      </c>
      <c r="H86" s="2" t="s">
        <v>4</v>
      </c>
      <c r="I86" s="2" t="s">
        <v>5</v>
      </c>
      <c r="J86" s="8">
        <v>290000</v>
      </c>
      <c r="K86" s="2" t="s">
        <v>6</v>
      </c>
      <c r="L86" s="8">
        <f>ROUND(VLOOKUP(F86,'[1]Офіційний курс гривні щодо ...'!$A$466:$G$929,7,)*J86,-3)</f>
        <v>12174000</v>
      </c>
      <c r="M86" s="8">
        <v>22755.140186915887</v>
      </c>
      <c r="N86" s="9"/>
      <c r="O86" s="9" t="s">
        <v>259</v>
      </c>
      <c r="P86" s="9"/>
      <c r="Q86" s="9" t="s">
        <v>8</v>
      </c>
      <c r="R86" s="9"/>
    </row>
    <row r="87" spans="1:18" ht="169" hidden="1" x14ac:dyDescent="0.35">
      <c r="A87" s="2">
        <v>86</v>
      </c>
      <c r="B87" s="8">
        <v>1000000086</v>
      </c>
      <c r="C87" s="2" t="s">
        <v>260</v>
      </c>
      <c r="D87" s="2" t="s">
        <v>2</v>
      </c>
      <c r="E87" s="2" t="s">
        <v>261</v>
      </c>
      <c r="F87" s="9">
        <v>45971</v>
      </c>
      <c r="G87" s="9">
        <v>45968</v>
      </c>
      <c r="H87" s="2" t="s">
        <v>4</v>
      </c>
      <c r="I87" s="2" t="s">
        <v>5</v>
      </c>
      <c r="J87" s="8">
        <v>200000</v>
      </c>
      <c r="K87" s="2" t="s">
        <v>6</v>
      </c>
      <c r="L87" s="8">
        <f>ROUND(VLOOKUP(F87,'[1]Офіційний курс гривні щодо ...'!$A$466:$G$929,7,)*J87,-3)</f>
        <v>8396000</v>
      </c>
      <c r="M87" s="8">
        <v>9912.6328217237296</v>
      </c>
      <c r="N87" s="9"/>
      <c r="O87" s="9" t="s">
        <v>262</v>
      </c>
      <c r="P87" s="9"/>
      <c r="Q87" s="9" t="s">
        <v>8</v>
      </c>
      <c r="R87" s="9"/>
    </row>
    <row r="88" spans="1:18" ht="78" hidden="1" x14ac:dyDescent="0.35">
      <c r="A88" s="2">
        <v>87</v>
      </c>
      <c r="B88" s="8">
        <v>1000000087</v>
      </c>
      <c r="C88" s="2" t="s">
        <v>263</v>
      </c>
      <c r="D88" s="2" t="s">
        <v>2</v>
      </c>
      <c r="E88" s="2" t="s">
        <v>264</v>
      </c>
      <c r="F88" s="9">
        <v>45971</v>
      </c>
      <c r="G88" s="9">
        <v>45971</v>
      </c>
      <c r="H88" s="2" t="s">
        <v>4</v>
      </c>
      <c r="I88" s="2" t="s">
        <v>5</v>
      </c>
      <c r="J88" s="8">
        <v>275000</v>
      </c>
      <c r="K88" s="2" t="s">
        <v>6</v>
      </c>
      <c r="L88" s="8">
        <f>ROUND(VLOOKUP(F88,'[1]Офіційний курс гривні щодо ...'!$A$466:$G$929,7,)*J88,-3)</f>
        <v>11544000</v>
      </c>
      <c r="M88" s="8">
        <v>4910.2509570395578</v>
      </c>
      <c r="N88" s="9"/>
      <c r="O88" s="9" t="s">
        <v>265</v>
      </c>
      <c r="P88" s="9"/>
      <c r="Q88" s="9" t="s">
        <v>8</v>
      </c>
      <c r="R88" s="9"/>
    </row>
    <row r="89" spans="1:18" ht="78" hidden="1" x14ac:dyDescent="0.35">
      <c r="A89" s="2">
        <v>88</v>
      </c>
      <c r="B89" s="8">
        <v>1000000088</v>
      </c>
      <c r="C89" s="2" t="s">
        <v>266</v>
      </c>
      <c r="D89" s="2" t="s">
        <v>2</v>
      </c>
      <c r="E89" s="2" t="s">
        <v>267</v>
      </c>
      <c r="F89" s="9">
        <v>45971</v>
      </c>
      <c r="G89" s="9">
        <v>45966</v>
      </c>
      <c r="H89" s="2" t="s">
        <v>4</v>
      </c>
      <c r="I89" s="2" t="s">
        <v>5</v>
      </c>
      <c r="J89" s="8">
        <v>65000</v>
      </c>
      <c r="K89" s="2" t="s">
        <v>6</v>
      </c>
      <c r="L89" s="8">
        <f>ROUND(VLOOKUP(F89,'[1]Офіційний курс гривні щодо ...'!$A$466:$G$929,7,)*J89,-3)</f>
        <v>2729000</v>
      </c>
      <c r="M89" s="8">
        <v>2729</v>
      </c>
      <c r="N89" s="9"/>
      <c r="O89" s="9" t="s">
        <v>268</v>
      </c>
      <c r="P89" s="9"/>
      <c r="Q89" s="9" t="s">
        <v>8</v>
      </c>
      <c r="R89" s="9"/>
    </row>
    <row r="90" spans="1:18" ht="169" hidden="1" x14ac:dyDescent="0.35">
      <c r="A90" s="2">
        <v>89</v>
      </c>
      <c r="B90" s="8">
        <v>1000000089</v>
      </c>
      <c r="C90" s="2" t="s">
        <v>269</v>
      </c>
      <c r="D90" s="2" t="s">
        <v>2</v>
      </c>
      <c r="E90" s="2" t="s">
        <v>270</v>
      </c>
      <c r="F90" s="9">
        <v>45971</v>
      </c>
      <c r="G90" s="9">
        <v>45949</v>
      </c>
      <c r="H90" s="2" t="s">
        <v>4</v>
      </c>
      <c r="I90" s="2" t="s">
        <v>5</v>
      </c>
      <c r="J90" s="8">
        <v>63500</v>
      </c>
      <c r="K90" s="2" t="s">
        <v>6</v>
      </c>
      <c r="L90" s="8">
        <f>ROUND(VLOOKUP(F90,'[1]Офіційний курс гривні щодо ...'!$A$466:$G$929,7,)*J90,-3)</f>
        <v>2666000</v>
      </c>
      <c r="M90" s="8">
        <v>2666</v>
      </c>
      <c r="N90" s="9"/>
      <c r="O90" s="9" t="s">
        <v>271</v>
      </c>
      <c r="P90" s="9"/>
      <c r="Q90" s="9" t="s">
        <v>8</v>
      </c>
      <c r="R90" s="9"/>
    </row>
    <row r="91" spans="1:18" ht="65" hidden="1" x14ac:dyDescent="0.35">
      <c r="A91" s="2">
        <v>90</v>
      </c>
      <c r="B91" s="8">
        <v>1000000090</v>
      </c>
      <c r="C91" s="2" t="s">
        <v>272</v>
      </c>
      <c r="D91" s="2" t="s">
        <v>146</v>
      </c>
      <c r="E91" s="2" t="s">
        <v>273</v>
      </c>
      <c r="F91" s="9">
        <v>45975</v>
      </c>
      <c r="G91" s="9">
        <v>45802</v>
      </c>
      <c r="H91" s="2" t="s">
        <v>4</v>
      </c>
      <c r="I91" s="2" t="s">
        <v>5</v>
      </c>
      <c r="J91" s="8">
        <v>55000</v>
      </c>
      <c r="K91" s="2" t="s">
        <v>6</v>
      </c>
      <c r="L91" s="8">
        <f>ROUND(VLOOKUP(F91,'[1]Офіційний курс гривні щодо ...'!$A$466:$G$929,7,)*J91,-3)</f>
        <v>2314000</v>
      </c>
      <c r="M91" s="8">
        <v>2314</v>
      </c>
      <c r="N91" s="9"/>
      <c r="O91" s="9" t="s">
        <v>274</v>
      </c>
      <c r="P91" s="9"/>
      <c r="Q91" s="9" t="s">
        <v>8</v>
      </c>
      <c r="R91" s="9"/>
    </row>
    <row r="92" spans="1:18" ht="169" hidden="1" x14ac:dyDescent="0.35">
      <c r="A92" s="2">
        <v>91</v>
      </c>
      <c r="B92" s="8">
        <v>1000000091</v>
      </c>
      <c r="C92" s="2" t="s">
        <v>275</v>
      </c>
      <c r="D92" s="2" t="s">
        <v>146</v>
      </c>
      <c r="E92" s="2" t="s">
        <v>276</v>
      </c>
      <c r="F92" s="9">
        <v>45975</v>
      </c>
      <c r="G92" s="9">
        <v>45876</v>
      </c>
      <c r="H92" s="2" t="s">
        <v>4</v>
      </c>
      <c r="I92" s="2" t="s">
        <v>5</v>
      </c>
      <c r="J92" s="8">
        <v>200000</v>
      </c>
      <c r="K92" s="2" t="s">
        <v>6</v>
      </c>
      <c r="L92" s="8">
        <f>ROUND(VLOOKUP(F92,'[1]Офіційний курс гривні щодо ...'!$A$466:$G$929,7,)*J92,-3)</f>
        <v>8413000</v>
      </c>
      <c r="M92" s="8">
        <v>4206.5</v>
      </c>
      <c r="N92" s="9"/>
      <c r="O92" s="9" t="s">
        <v>277</v>
      </c>
      <c r="P92" s="9"/>
      <c r="Q92" s="9" t="s">
        <v>8</v>
      </c>
      <c r="R92" s="9"/>
    </row>
    <row r="93" spans="1:18" ht="169" hidden="1" x14ac:dyDescent="0.35">
      <c r="A93" s="2">
        <v>92</v>
      </c>
      <c r="B93" s="8">
        <v>1000000092</v>
      </c>
      <c r="C93" s="2" t="s">
        <v>278</v>
      </c>
      <c r="D93" s="2" t="s">
        <v>146</v>
      </c>
      <c r="E93" s="2" t="s">
        <v>279</v>
      </c>
      <c r="F93" s="9">
        <v>45975</v>
      </c>
      <c r="G93" s="9">
        <v>45915</v>
      </c>
      <c r="H93" s="2" t="s">
        <v>4</v>
      </c>
      <c r="I93" s="2" t="s">
        <v>5</v>
      </c>
      <c r="J93" s="8">
        <v>51761</v>
      </c>
      <c r="K93" s="2" t="s">
        <v>6</v>
      </c>
      <c r="L93" s="8">
        <f>ROUND(VLOOKUP(F93,'[1]Офіційний курс гривні щодо ...'!$A$466:$G$929,7,)*J93,-3)</f>
        <v>2177000</v>
      </c>
      <c r="M93" s="8">
        <v>2177</v>
      </c>
      <c r="N93" s="9"/>
      <c r="O93" s="9" t="s">
        <v>280</v>
      </c>
      <c r="P93" s="9"/>
      <c r="Q93" s="9" t="s">
        <v>8</v>
      </c>
      <c r="R93" s="9"/>
    </row>
    <row r="94" spans="1:18" ht="78" hidden="1" x14ac:dyDescent="0.35">
      <c r="A94" s="2">
        <v>93</v>
      </c>
      <c r="B94" s="8">
        <v>1000000093</v>
      </c>
      <c r="C94" s="2" t="s">
        <v>281</v>
      </c>
      <c r="D94" s="2" t="s">
        <v>146</v>
      </c>
      <c r="E94" s="2" t="s">
        <v>282</v>
      </c>
      <c r="F94" s="9">
        <v>45983</v>
      </c>
      <c r="G94" s="9">
        <v>45973</v>
      </c>
      <c r="H94" s="2" t="s">
        <v>4</v>
      </c>
      <c r="I94" s="2" t="s">
        <v>5</v>
      </c>
      <c r="J94" s="8">
        <v>108000</v>
      </c>
      <c r="K94" s="2" t="s">
        <v>6</v>
      </c>
      <c r="L94" s="8">
        <f>ROUND(VLOOKUP(F94,'[1]Офіційний курс гривні щодо ...'!$A$466:$G$929,7,)*J94,-3)</f>
        <v>4553000</v>
      </c>
      <c r="M94" s="8">
        <v>6504.2857142857147</v>
      </c>
      <c r="N94" s="9"/>
      <c r="O94" s="9" t="s">
        <v>283</v>
      </c>
      <c r="P94" s="9"/>
      <c r="Q94" s="9" t="s">
        <v>8</v>
      </c>
      <c r="R94" s="9"/>
    </row>
    <row r="95" spans="1:18" ht="234" hidden="1" x14ac:dyDescent="0.35">
      <c r="A95" s="2">
        <v>94</v>
      </c>
      <c r="B95" s="8">
        <v>1000000094</v>
      </c>
      <c r="C95" s="2" t="s">
        <v>284</v>
      </c>
      <c r="D95" s="2" t="s">
        <v>146</v>
      </c>
      <c r="E95" s="2" t="s">
        <v>285</v>
      </c>
      <c r="F95" s="9">
        <v>45983</v>
      </c>
      <c r="G95" s="9">
        <v>45916</v>
      </c>
      <c r="H95" s="2" t="s">
        <v>4</v>
      </c>
      <c r="I95" s="2" t="s">
        <v>5</v>
      </c>
      <c r="J95" s="8">
        <v>65000</v>
      </c>
      <c r="K95" s="2" t="s">
        <v>6</v>
      </c>
      <c r="L95" s="8">
        <f>ROUND(VLOOKUP(F95,'[1]Офіційний курс гривні щодо ...'!$A$466:$G$929,7,)*J95,-3)</f>
        <v>2740000</v>
      </c>
      <c r="M95" s="8">
        <v>3919.8855507868384</v>
      </c>
      <c r="N95" s="9"/>
      <c r="O95" s="9" t="s">
        <v>286</v>
      </c>
      <c r="P95" s="9"/>
      <c r="Q95" s="9" t="s">
        <v>8</v>
      </c>
      <c r="R95" s="9"/>
    </row>
    <row r="96" spans="1:18" ht="65" hidden="1" x14ac:dyDescent="0.35">
      <c r="A96" s="2">
        <v>95</v>
      </c>
      <c r="B96" s="8">
        <v>1000000095</v>
      </c>
      <c r="C96" s="2" t="s">
        <v>287</v>
      </c>
      <c r="D96" s="2" t="s">
        <v>146</v>
      </c>
      <c r="E96" s="2" t="s">
        <v>288</v>
      </c>
      <c r="F96" s="9">
        <v>45986</v>
      </c>
      <c r="G96" s="9">
        <v>45973</v>
      </c>
      <c r="H96" s="2" t="s">
        <v>4</v>
      </c>
      <c r="I96" s="2" t="s">
        <v>5</v>
      </c>
      <c r="J96" s="8">
        <v>235000</v>
      </c>
      <c r="K96" s="2" t="s">
        <v>6</v>
      </c>
      <c r="L96" s="8">
        <f>ROUND(VLOOKUP(F96,'[1]Офіційний курс гривні щодо ...'!$A$466:$G$929,7,)*J96,-3)</f>
        <v>9957000</v>
      </c>
      <c r="M96" s="8">
        <v>10503.164556962025</v>
      </c>
      <c r="N96" s="9"/>
      <c r="O96" s="9" t="s">
        <v>289</v>
      </c>
      <c r="P96" s="9"/>
      <c r="Q96" s="9" t="s">
        <v>8</v>
      </c>
      <c r="R96" s="9"/>
    </row>
    <row r="97" spans="1:18" ht="91" hidden="1" x14ac:dyDescent="0.35">
      <c r="A97" s="2">
        <v>96</v>
      </c>
      <c r="B97" s="8">
        <v>1000000096</v>
      </c>
      <c r="C97" s="2" t="s">
        <v>290</v>
      </c>
      <c r="D97" s="2" t="s">
        <v>146</v>
      </c>
      <c r="E97" s="2" t="s">
        <v>291</v>
      </c>
      <c r="F97" s="9">
        <v>45986</v>
      </c>
      <c r="G97" s="9">
        <v>45952</v>
      </c>
      <c r="H97" s="2" t="s">
        <v>4</v>
      </c>
      <c r="I97" s="2" t="s">
        <v>5</v>
      </c>
      <c r="J97" s="8">
        <v>79000</v>
      </c>
      <c r="K97" s="2" t="s">
        <v>6</v>
      </c>
      <c r="L97" s="8">
        <f>ROUND(VLOOKUP(F97,'[1]Офіційний курс гривні щодо ...'!$A$466:$G$929,7,)*J97,-3)</f>
        <v>3347000</v>
      </c>
      <c r="M97" s="8">
        <v>6279.5497185741087</v>
      </c>
      <c r="N97" s="9"/>
      <c r="O97" s="9" t="s">
        <v>292</v>
      </c>
      <c r="P97" s="9"/>
      <c r="Q97" s="9" t="s">
        <v>8</v>
      </c>
      <c r="R97" s="9"/>
    </row>
    <row r="98" spans="1:18" ht="169" hidden="1" x14ac:dyDescent="0.35">
      <c r="A98" s="2">
        <v>97</v>
      </c>
      <c r="B98" s="8">
        <v>1000000097</v>
      </c>
      <c r="C98" s="2" t="s">
        <v>293</v>
      </c>
      <c r="D98" s="2" t="s">
        <v>146</v>
      </c>
      <c r="E98" s="2" t="s">
        <v>294</v>
      </c>
      <c r="F98" s="9">
        <v>45992</v>
      </c>
      <c r="G98" s="9">
        <v>45950</v>
      </c>
      <c r="H98" s="2" t="s">
        <v>4</v>
      </c>
      <c r="I98" s="2" t="s">
        <v>5</v>
      </c>
      <c r="J98" s="8">
        <v>600000</v>
      </c>
      <c r="K98" s="2" t="s">
        <v>6</v>
      </c>
      <c r="L98" s="8">
        <f>ROUND(VLOOKUP(F98,'[1]Офіційний курс гривні щодо ...'!$A$466:$G$929,7,)*J98,-3)</f>
        <v>25360000</v>
      </c>
      <c r="M98" s="8">
        <v>3357.161768599417</v>
      </c>
      <c r="N98" s="9"/>
      <c r="O98" s="9" t="s">
        <v>295</v>
      </c>
      <c r="P98" s="9"/>
      <c r="Q98" s="9" t="s">
        <v>8</v>
      </c>
      <c r="R98" s="9"/>
    </row>
    <row r="99" spans="1:18" ht="169" hidden="1" x14ac:dyDescent="0.35">
      <c r="A99" s="2">
        <v>98</v>
      </c>
      <c r="B99" s="8">
        <v>1000000098</v>
      </c>
      <c r="C99" s="2" t="s">
        <v>296</v>
      </c>
      <c r="D99" s="2" t="s">
        <v>146</v>
      </c>
      <c r="E99" s="2" t="s">
        <v>297</v>
      </c>
      <c r="F99" s="9">
        <v>45992</v>
      </c>
      <c r="G99" s="9">
        <v>45984</v>
      </c>
      <c r="H99" s="2" t="s">
        <v>4</v>
      </c>
      <c r="I99" s="2" t="s">
        <v>5</v>
      </c>
      <c r="J99" s="8">
        <v>645000</v>
      </c>
      <c r="K99" s="2" t="s">
        <v>6</v>
      </c>
      <c r="L99" s="8">
        <f>ROUND(VLOOKUP(F99,'[1]Офіційний курс гривні щодо ...'!$A$466:$G$929,7,)*J99,-3)</f>
        <v>27262000</v>
      </c>
      <c r="M99" s="8">
        <v>27262</v>
      </c>
      <c r="N99" s="9"/>
      <c r="O99" s="9" t="s">
        <v>298</v>
      </c>
      <c r="P99" s="9"/>
      <c r="Q99" s="9" t="s">
        <v>8</v>
      </c>
      <c r="R99" s="9"/>
    </row>
    <row r="100" spans="1:18" ht="117" hidden="1" x14ac:dyDescent="0.35">
      <c r="A100" s="2">
        <v>99</v>
      </c>
      <c r="B100" s="8">
        <v>1000000099</v>
      </c>
      <c r="C100" s="2" t="s">
        <v>299</v>
      </c>
      <c r="D100" s="2" t="s">
        <v>146</v>
      </c>
      <c r="E100" s="2" t="s">
        <v>300</v>
      </c>
      <c r="F100" s="9">
        <v>45992</v>
      </c>
      <c r="G100" s="9">
        <v>45912</v>
      </c>
      <c r="H100" s="2" t="s">
        <v>4</v>
      </c>
      <c r="I100" s="2" t="s">
        <v>5</v>
      </c>
      <c r="J100" s="8">
        <v>360000</v>
      </c>
      <c r="K100" s="2" t="s">
        <v>6</v>
      </c>
      <c r="L100" s="8">
        <f>ROUND(VLOOKUP(F100,'[1]Офіційний курс гривні щодо ...'!$A$466:$G$929,7,)*J100,-3)</f>
        <v>15216000</v>
      </c>
      <c r="M100" s="8">
        <v>15216</v>
      </c>
      <c r="N100" s="9"/>
      <c r="O100" s="9" t="s">
        <v>301</v>
      </c>
      <c r="P100" s="9"/>
      <c r="Q100" s="9" t="s">
        <v>8</v>
      </c>
      <c r="R100" s="9"/>
    </row>
    <row r="101" spans="1:18" ht="117" hidden="1" x14ac:dyDescent="0.35">
      <c r="A101" s="2">
        <v>100</v>
      </c>
      <c r="B101" s="8">
        <v>1000000100</v>
      </c>
      <c r="C101" s="2" t="s">
        <v>302</v>
      </c>
      <c r="D101" s="2" t="s">
        <v>146</v>
      </c>
      <c r="E101" s="2" t="s">
        <v>303</v>
      </c>
      <c r="F101" s="9">
        <v>45992</v>
      </c>
      <c r="G101" s="9">
        <v>45823</v>
      </c>
      <c r="H101" s="2" t="s">
        <v>4</v>
      </c>
      <c r="I101" s="2" t="s">
        <v>5</v>
      </c>
      <c r="J101" s="8">
        <v>520000</v>
      </c>
      <c r="K101" s="2" t="s">
        <v>6</v>
      </c>
      <c r="L101" s="8">
        <f>ROUND(VLOOKUP(F101,'[1]Офіційний курс гривні щодо ...'!$A$466:$G$929,7,)*J101,-3)</f>
        <v>21978000</v>
      </c>
      <c r="M101" s="8">
        <v>27472.5</v>
      </c>
      <c r="N101" s="9"/>
      <c r="O101" s="9" t="s">
        <v>304</v>
      </c>
      <c r="P101" s="9"/>
      <c r="Q101" s="9" t="s">
        <v>8</v>
      </c>
      <c r="R101" s="9"/>
    </row>
    <row r="102" spans="1:18" ht="91" hidden="1" x14ac:dyDescent="0.35">
      <c r="A102" s="2">
        <v>101</v>
      </c>
      <c r="B102" s="8">
        <v>1000000101</v>
      </c>
      <c r="C102" s="2" t="s">
        <v>305</v>
      </c>
      <c r="D102" s="2" t="s">
        <v>146</v>
      </c>
      <c r="E102" s="2" t="s">
        <v>306</v>
      </c>
      <c r="F102" s="9">
        <v>45992</v>
      </c>
      <c r="G102" s="9">
        <v>45699</v>
      </c>
      <c r="H102" s="2" t="s">
        <v>4</v>
      </c>
      <c r="I102" s="2" t="s">
        <v>5</v>
      </c>
      <c r="J102" s="8">
        <v>230000</v>
      </c>
      <c r="K102" s="2" t="s">
        <v>6</v>
      </c>
      <c r="L102" s="8">
        <f>ROUND(VLOOKUP(F102,'[1]Офіційний курс гривні щодо ...'!$A$466:$G$929,7,)*J102,-3)</f>
        <v>9721000</v>
      </c>
      <c r="M102" s="8">
        <v>9721</v>
      </c>
      <c r="N102" s="9"/>
      <c r="O102" s="9" t="s">
        <v>307</v>
      </c>
      <c r="P102" s="9"/>
      <c r="Q102" s="9" t="s">
        <v>8</v>
      </c>
      <c r="R102" s="9"/>
    </row>
    <row r="103" spans="1:18" ht="117" hidden="1" x14ac:dyDescent="0.35">
      <c r="A103" s="2">
        <v>102</v>
      </c>
      <c r="B103" s="8">
        <v>1000000102</v>
      </c>
      <c r="C103" s="2" t="s">
        <v>308</v>
      </c>
      <c r="D103" s="2" t="s">
        <v>146</v>
      </c>
      <c r="E103" s="2" t="s">
        <v>309</v>
      </c>
      <c r="F103" s="9">
        <v>45992</v>
      </c>
      <c r="G103" s="9">
        <v>45988</v>
      </c>
      <c r="H103" s="2" t="s">
        <v>4</v>
      </c>
      <c r="I103" s="2" t="s">
        <v>5</v>
      </c>
      <c r="J103" s="8">
        <v>168000</v>
      </c>
      <c r="K103" s="2" t="s">
        <v>6</v>
      </c>
      <c r="L103" s="8">
        <f>ROUND(VLOOKUP(F103,'[1]Офіційний курс гривні щодо ...'!$A$466:$G$929,7,)*J103,-3)</f>
        <v>7101000</v>
      </c>
      <c r="M103" s="8">
        <v>16827.014218009477</v>
      </c>
      <c r="N103" s="9"/>
      <c r="O103" s="9" t="s">
        <v>310</v>
      </c>
      <c r="P103" s="9"/>
      <c r="Q103" s="9" t="s">
        <v>8</v>
      </c>
      <c r="R103" s="9"/>
    </row>
    <row r="104" spans="1:18" ht="78" hidden="1" x14ac:dyDescent="0.35">
      <c r="A104" s="2">
        <v>103</v>
      </c>
      <c r="B104" s="8">
        <v>1000000103</v>
      </c>
      <c r="C104" s="2" t="s">
        <v>311</v>
      </c>
      <c r="D104" s="2" t="s">
        <v>146</v>
      </c>
      <c r="E104" s="2" t="s">
        <v>312</v>
      </c>
      <c r="F104" s="9">
        <v>45992</v>
      </c>
      <c r="G104" s="9">
        <v>45931</v>
      </c>
      <c r="H104" s="2" t="s">
        <v>4</v>
      </c>
      <c r="I104" s="2" t="s">
        <v>5</v>
      </c>
      <c r="J104" s="8">
        <v>84000</v>
      </c>
      <c r="K104" s="2" t="s">
        <v>6</v>
      </c>
      <c r="L104" s="8">
        <f>ROUND(VLOOKUP(F104,'[1]Офіційний курс гривні щодо ...'!$A$466:$G$929,7,)*J104,-3)</f>
        <v>3550000</v>
      </c>
      <c r="M104" s="8">
        <v>4071.1009174311921</v>
      </c>
      <c r="N104" s="9"/>
      <c r="O104" s="9" t="s">
        <v>313</v>
      </c>
      <c r="P104" s="9"/>
      <c r="Q104" s="9" t="s">
        <v>8</v>
      </c>
      <c r="R104" s="9"/>
    </row>
    <row r="105" spans="1:18" ht="91" hidden="1" x14ac:dyDescent="0.35">
      <c r="A105" s="2">
        <v>104</v>
      </c>
      <c r="B105" s="8">
        <v>1000000104</v>
      </c>
      <c r="C105" s="2" t="s">
        <v>314</v>
      </c>
      <c r="D105" s="2" t="s">
        <v>146</v>
      </c>
      <c r="E105" s="2" t="s">
        <v>315</v>
      </c>
      <c r="F105" s="9">
        <v>45992</v>
      </c>
      <c r="G105" s="9">
        <v>45668</v>
      </c>
      <c r="H105" s="2" t="s">
        <v>4</v>
      </c>
      <c r="I105" s="2" t="s">
        <v>5</v>
      </c>
      <c r="J105" s="8">
        <v>600000</v>
      </c>
      <c r="K105" s="2" t="s">
        <v>6</v>
      </c>
      <c r="L105" s="8">
        <f>ROUND(VLOOKUP(F105,'[1]Офіційний курс гривні щодо ...'!$A$466:$G$929,7,)*J105,-3)</f>
        <v>25360000</v>
      </c>
      <c r="M105" s="8">
        <v>25360</v>
      </c>
      <c r="N105" s="9"/>
      <c r="O105" s="9" t="s">
        <v>316</v>
      </c>
      <c r="P105" s="9"/>
      <c r="Q105" s="9" t="s">
        <v>8</v>
      </c>
      <c r="R105" s="9"/>
    </row>
    <row r="106" spans="1:18" ht="91" hidden="1" x14ac:dyDescent="0.35">
      <c r="A106" s="2">
        <v>105</v>
      </c>
      <c r="B106" s="8">
        <v>1000000105</v>
      </c>
      <c r="C106" s="2" t="s">
        <v>317</v>
      </c>
      <c r="D106" s="2" t="s">
        <v>146</v>
      </c>
      <c r="E106" s="2" t="s">
        <v>318</v>
      </c>
      <c r="F106" s="9">
        <v>45992</v>
      </c>
      <c r="G106" s="9">
        <v>45992</v>
      </c>
      <c r="H106" s="2" t="s">
        <v>4</v>
      </c>
      <c r="I106" s="2" t="s">
        <v>5</v>
      </c>
      <c r="J106" s="8">
        <v>55000</v>
      </c>
      <c r="K106" s="2" t="s">
        <v>6</v>
      </c>
      <c r="L106" s="8">
        <f>ROUND(VLOOKUP(F106,'[1]Офіційний курс гривні щодо ...'!$A$466:$G$929,7,)*J106,-3)</f>
        <v>2325000</v>
      </c>
      <c r="M106" s="8">
        <v>2360.4060913705584</v>
      </c>
      <c r="N106" s="9"/>
      <c r="O106" s="9" t="s">
        <v>319</v>
      </c>
      <c r="P106" s="9"/>
      <c r="Q106" s="9" t="s">
        <v>8</v>
      </c>
      <c r="R106" s="9"/>
    </row>
    <row r="107" spans="1:18" ht="208" hidden="1" x14ac:dyDescent="0.35">
      <c r="A107" s="2">
        <v>106</v>
      </c>
      <c r="B107" s="8">
        <v>1000000106</v>
      </c>
      <c r="C107" s="2" t="s">
        <v>320</v>
      </c>
      <c r="D107" s="2" t="s">
        <v>146</v>
      </c>
      <c r="E107" s="2" t="s">
        <v>279</v>
      </c>
      <c r="F107" s="9">
        <v>45992</v>
      </c>
      <c r="G107" s="9">
        <v>45915</v>
      </c>
      <c r="H107" s="2" t="s">
        <v>4</v>
      </c>
      <c r="I107" s="2" t="s">
        <v>5</v>
      </c>
      <c r="J107" s="8">
        <v>51390</v>
      </c>
      <c r="K107" s="2" t="s">
        <v>6</v>
      </c>
      <c r="L107" s="8">
        <f>ROUND(VLOOKUP(F107,'[1]Офіційний курс гривні щодо ...'!$A$466:$G$929,7,)*J107,-3)</f>
        <v>2172000</v>
      </c>
      <c r="M107" s="8">
        <v>4344</v>
      </c>
      <c r="N107" s="9"/>
      <c r="O107" s="9" t="s">
        <v>321</v>
      </c>
      <c r="P107" s="9"/>
      <c r="Q107" s="9" t="s">
        <v>8</v>
      </c>
      <c r="R107" s="9"/>
    </row>
    <row r="108" spans="1:18" ht="78" hidden="1" x14ac:dyDescent="0.35">
      <c r="A108" s="2">
        <v>107</v>
      </c>
      <c r="B108" s="8">
        <v>1000000107</v>
      </c>
      <c r="C108" s="2" t="s">
        <v>322</v>
      </c>
      <c r="D108" s="2" t="s">
        <v>146</v>
      </c>
      <c r="E108" s="2" t="s">
        <v>323</v>
      </c>
      <c r="F108" s="9">
        <v>45992</v>
      </c>
      <c r="G108" s="9">
        <v>45824</v>
      </c>
      <c r="H108" s="2" t="s">
        <v>4</v>
      </c>
      <c r="I108" s="2" t="s">
        <v>5</v>
      </c>
      <c r="J108" s="8">
        <v>40000</v>
      </c>
      <c r="K108" s="2" t="s">
        <v>6</v>
      </c>
      <c r="L108" s="8">
        <f>ROUND(VLOOKUP(F108,'[1]Офіційний курс гривні щодо ...'!$A$466:$G$929,7,)*J108,-3)</f>
        <v>1691000</v>
      </c>
      <c r="M108" s="8">
        <v>1691</v>
      </c>
      <c r="N108" s="9"/>
      <c r="O108" s="9" t="s">
        <v>324</v>
      </c>
      <c r="P108" s="9"/>
      <c r="Q108" s="9" t="s">
        <v>8</v>
      </c>
      <c r="R108" s="9"/>
    </row>
    <row r="109" spans="1:18" ht="52" hidden="1" x14ac:dyDescent="0.35">
      <c r="A109" s="2">
        <v>108</v>
      </c>
      <c r="B109" s="8">
        <v>1000000108</v>
      </c>
      <c r="C109" s="2" t="s">
        <v>325</v>
      </c>
      <c r="D109" s="2" t="s">
        <v>146</v>
      </c>
      <c r="E109" s="2" t="s">
        <v>326</v>
      </c>
      <c r="F109" s="9">
        <v>45992</v>
      </c>
      <c r="G109" s="9">
        <v>45690</v>
      </c>
      <c r="H109" s="2" t="s">
        <v>4</v>
      </c>
      <c r="I109" s="2" t="s">
        <v>5</v>
      </c>
      <c r="J109" s="8">
        <v>115000</v>
      </c>
      <c r="K109" s="2" t="s">
        <v>6</v>
      </c>
      <c r="L109" s="8">
        <f>ROUND(VLOOKUP(F109,'[1]Офіційний курс гривні щодо ...'!$A$466:$G$929,7,)*J109,-3)</f>
        <v>4861000</v>
      </c>
      <c r="M109" s="8">
        <v>4861</v>
      </c>
      <c r="N109" s="9"/>
      <c r="O109" s="9" t="s">
        <v>327</v>
      </c>
      <c r="P109" s="9"/>
      <c r="Q109" s="9" t="s">
        <v>8</v>
      </c>
      <c r="R109" s="9"/>
    </row>
    <row r="110" spans="1:18" ht="156" hidden="1" x14ac:dyDescent="0.35">
      <c r="A110" s="2">
        <v>109</v>
      </c>
      <c r="B110" s="8">
        <v>1000000109</v>
      </c>
      <c r="C110" s="2" t="s">
        <v>328</v>
      </c>
      <c r="D110" s="2" t="s">
        <v>329</v>
      </c>
      <c r="E110" s="2" t="s">
        <v>330</v>
      </c>
      <c r="F110" s="9">
        <v>45992</v>
      </c>
      <c r="G110" s="9">
        <v>45962</v>
      </c>
      <c r="H110" s="2" t="s">
        <v>4</v>
      </c>
      <c r="I110" s="2" t="s">
        <v>5</v>
      </c>
      <c r="J110" s="8">
        <v>435306</v>
      </c>
      <c r="K110" s="2" t="s">
        <v>6</v>
      </c>
      <c r="L110" s="8">
        <f>ROUND(VLOOKUP(F110,'[1]Офіційний курс гривні щодо ...'!$A$466:$G$929,7,)*J110,-3)</f>
        <v>18399000</v>
      </c>
      <c r="M110" s="8">
        <v>62795.221843003412</v>
      </c>
      <c r="N110" s="9"/>
      <c r="O110" s="9" t="s">
        <v>331</v>
      </c>
      <c r="P110" s="9"/>
      <c r="Q110" s="9" t="s">
        <v>8</v>
      </c>
      <c r="R110" s="9"/>
    </row>
    <row r="111" spans="1:18" ht="143" hidden="1" x14ac:dyDescent="0.35">
      <c r="A111" s="2">
        <v>110</v>
      </c>
      <c r="B111" s="8">
        <v>1000000110</v>
      </c>
      <c r="C111" s="2" t="s">
        <v>332</v>
      </c>
      <c r="D111" s="2" t="s">
        <v>329</v>
      </c>
      <c r="E111" s="2" t="s">
        <v>333</v>
      </c>
      <c r="F111" s="9">
        <v>45992</v>
      </c>
      <c r="G111" s="9">
        <v>45986</v>
      </c>
      <c r="H111" s="2" t="s">
        <v>4</v>
      </c>
      <c r="I111" s="2" t="s">
        <v>5</v>
      </c>
      <c r="J111" s="8">
        <v>280000</v>
      </c>
      <c r="K111" s="2" t="s">
        <v>6</v>
      </c>
      <c r="L111" s="8">
        <f>ROUND(VLOOKUP(F111,'[1]Офіційний курс гривні щодо ...'!$A$466:$G$929,7,)*J111,-3)</f>
        <v>11834000</v>
      </c>
      <c r="M111" s="8">
        <v>18375.776397515529</v>
      </c>
      <c r="N111" s="9"/>
      <c r="O111" s="9" t="s">
        <v>334</v>
      </c>
      <c r="P111" s="9"/>
      <c r="Q111" s="9" t="s">
        <v>8</v>
      </c>
      <c r="R111" s="9"/>
    </row>
    <row r="112" spans="1:18" ht="234" hidden="1" x14ac:dyDescent="0.35">
      <c r="A112" s="2">
        <v>111</v>
      </c>
      <c r="B112" s="8">
        <v>1000000111</v>
      </c>
      <c r="C112" s="2" t="s">
        <v>335</v>
      </c>
      <c r="D112" s="2" t="s">
        <v>329</v>
      </c>
      <c r="E112" s="2" t="s">
        <v>336</v>
      </c>
      <c r="F112" s="9">
        <v>45992</v>
      </c>
      <c r="G112" s="9">
        <v>45986</v>
      </c>
      <c r="H112" s="2" t="s">
        <v>4</v>
      </c>
      <c r="I112" s="2" t="s">
        <v>5</v>
      </c>
      <c r="J112" s="8">
        <v>240000</v>
      </c>
      <c r="K112" s="2" t="s">
        <v>6</v>
      </c>
      <c r="L112" s="8">
        <f>ROUND(VLOOKUP(F112,'[1]Офіційний курс гривні щодо ...'!$A$466:$G$929,7,)*J112,-3)</f>
        <v>10144000</v>
      </c>
      <c r="M112" s="8">
        <v>26279.792746113988</v>
      </c>
      <c r="N112" s="9"/>
      <c r="O112" s="9" t="s">
        <v>337</v>
      </c>
      <c r="P112" s="9"/>
      <c r="Q112" s="9" t="s">
        <v>8</v>
      </c>
      <c r="R112" s="9"/>
    </row>
    <row r="113" spans="1:18" ht="91" hidden="1" x14ac:dyDescent="0.35">
      <c r="A113" s="2">
        <v>112</v>
      </c>
      <c r="B113" s="8">
        <v>1000000112</v>
      </c>
      <c r="C113" s="2" t="s">
        <v>338</v>
      </c>
      <c r="D113" s="2" t="s">
        <v>2</v>
      </c>
      <c r="E113" s="2" t="s">
        <v>339</v>
      </c>
      <c r="F113" s="9">
        <v>45992</v>
      </c>
      <c r="G113" s="9">
        <v>45987</v>
      </c>
      <c r="H113" s="2" t="s">
        <v>4</v>
      </c>
      <c r="I113" s="2" t="s">
        <v>5</v>
      </c>
      <c r="J113" s="8">
        <v>110000</v>
      </c>
      <c r="K113" s="2" t="s">
        <v>6</v>
      </c>
      <c r="L113" s="8">
        <f>ROUND(VLOOKUP(F113,'[1]Офіційний курс гривні щодо ...'!$A$466:$G$929,7,)*J113,-3)</f>
        <v>4649000</v>
      </c>
      <c r="M113" s="8">
        <v>12497.31182795699</v>
      </c>
      <c r="N113" s="9"/>
      <c r="O113" s="9" t="s">
        <v>340</v>
      </c>
      <c r="P113" s="9"/>
      <c r="Q113" s="9" t="s">
        <v>8</v>
      </c>
      <c r="R113" s="9"/>
    </row>
    <row r="114" spans="1:18" ht="78" hidden="1" x14ac:dyDescent="0.35">
      <c r="A114" s="2">
        <v>113</v>
      </c>
      <c r="B114" s="8">
        <v>1000000113</v>
      </c>
      <c r="C114" s="2" t="s">
        <v>127</v>
      </c>
      <c r="D114" s="2" t="s">
        <v>2</v>
      </c>
      <c r="E114" s="2" t="s">
        <v>341</v>
      </c>
      <c r="F114" s="9">
        <v>45992</v>
      </c>
      <c r="G114" s="9">
        <v>45827</v>
      </c>
      <c r="H114" s="2" t="s">
        <v>4</v>
      </c>
      <c r="I114" s="2" t="s">
        <v>5</v>
      </c>
      <c r="J114" s="8">
        <v>180000</v>
      </c>
      <c r="K114" s="2" t="s">
        <v>6</v>
      </c>
      <c r="L114" s="8">
        <f>ROUND(VLOOKUP(F114,'[1]Офіційний курс гривні щодо ...'!$A$466:$G$929,7,)*J114,-3)</f>
        <v>7608000</v>
      </c>
      <c r="M114" s="8">
        <v>12916.808149405773</v>
      </c>
      <c r="N114" s="9"/>
      <c r="O114" s="9" t="s">
        <v>342</v>
      </c>
      <c r="P114" s="9"/>
      <c r="Q114" s="9" t="s">
        <v>8</v>
      </c>
      <c r="R114" s="9"/>
    </row>
    <row r="115" spans="1:18" ht="247" hidden="1" x14ac:dyDescent="0.35">
      <c r="A115" s="2">
        <v>114</v>
      </c>
      <c r="B115" s="8">
        <v>1000000114</v>
      </c>
      <c r="C115" s="2" t="s">
        <v>343</v>
      </c>
      <c r="D115" s="2" t="s">
        <v>146</v>
      </c>
      <c r="E115" s="2" t="s">
        <v>344</v>
      </c>
      <c r="F115" s="9">
        <v>45992</v>
      </c>
      <c r="G115" s="9">
        <v>45829</v>
      </c>
      <c r="H115" s="2" t="s">
        <v>4</v>
      </c>
      <c r="I115" s="2" t="s">
        <v>5</v>
      </c>
      <c r="J115" s="8">
        <v>230000</v>
      </c>
      <c r="K115" s="2" t="s">
        <v>6</v>
      </c>
      <c r="L115" s="8">
        <f>ROUND(VLOOKUP(F115,'[1]Офіційний курс гривні щодо ...'!$A$466:$G$929,7,)*J115,-3)</f>
        <v>9721000</v>
      </c>
      <c r="M115" s="8">
        <v>17144.620811287477</v>
      </c>
      <c r="N115" s="9"/>
      <c r="O115" s="9" t="s">
        <v>345</v>
      </c>
      <c r="P115" s="9"/>
      <c r="Q115" s="9" t="s">
        <v>8</v>
      </c>
      <c r="R115" s="9"/>
    </row>
    <row r="116" spans="1:18" ht="78" hidden="1" x14ac:dyDescent="0.35">
      <c r="A116" s="2">
        <v>115</v>
      </c>
      <c r="B116" s="8">
        <v>1000000115</v>
      </c>
      <c r="C116" s="2" t="s">
        <v>346</v>
      </c>
      <c r="D116" s="2" t="s">
        <v>329</v>
      </c>
      <c r="E116" s="2" t="s">
        <v>347</v>
      </c>
      <c r="F116" s="9">
        <v>45992</v>
      </c>
      <c r="G116" s="9">
        <v>45839</v>
      </c>
      <c r="H116" s="2" t="s">
        <v>4</v>
      </c>
      <c r="I116" s="2" t="s">
        <v>5</v>
      </c>
      <c r="J116" s="8">
        <v>135000</v>
      </c>
      <c r="K116" s="2" t="s">
        <v>6</v>
      </c>
      <c r="L116" s="8">
        <f>ROUND(VLOOKUP(F116,'[1]Офіційний курс гривні щодо ...'!$A$466:$G$929,7,)*J116,-3)</f>
        <v>5706000</v>
      </c>
      <c r="M116" s="8">
        <v>5706</v>
      </c>
      <c r="N116" s="9"/>
      <c r="O116" s="9" t="s">
        <v>348</v>
      </c>
      <c r="P116" s="9"/>
      <c r="Q116" s="9" t="s">
        <v>8</v>
      </c>
      <c r="R116" s="9"/>
    </row>
    <row r="117" spans="1:18" ht="39" hidden="1" x14ac:dyDescent="0.35">
      <c r="A117" s="2">
        <v>116</v>
      </c>
      <c r="B117" s="8">
        <v>1000000116</v>
      </c>
      <c r="C117" s="2" t="s">
        <v>349</v>
      </c>
      <c r="D117" s="2" t="s">
        <v>146</v>
      </c>
      <c r="E117" s="2" t="s">
        <v>350</v>
      </c>
      <c r="F117" s="9">
        <v>45997</v>
      </c>
      <c r="G117" s="9">
        <v>45965</v>
      </c>
      <c r="H117" s="2" t="s">
        <v>4</v>
      </c>
      <c r="I117" s="2" t="s">
        <v>5</v>
      </c>
      <c r="J117" s="8">
        <v>135000</v>
      </c>
      <c r="K117" s="2" t="s">
        <v>6</v>
      </c>
      <c r="L117" s="8">
        <f>ROUND(VLOOKUP(F117,'[1]Офіційний курс гривні щодо ...'!$A$466:$G$929,7,)*J117,-3)</f>
        <v>5695000</v>
      </c>
      <c r="M117" s="8">
        <v>9320.7855973813421</v>
      </c>
      <c r="N117" s="9"/>
      <c r="O117" s="9" t="s">
        <v>351</v>
      </c>
      <c r="P117" s="9"/>
      <c r="Q117" s="9" t="s">
        <v>8</v>
      </c>
      <c r="R117" s="9"/>
    </row>
    <row r="118" spans="1:18" ht="78" hidden="1" x14ac:dyDescent="0.35">
      <c r="A118" s="2">
        <v>117</v>
      </c>
      <c r="B118" s="8">
        <v>1000000117</v>
      </c>
      <c r="C118" s="2" t="s">
        <v>352</v>
      </c>
      <c r="D118" s="2" t="s">
        <v>146</v>
      </c>
      <c r="E118" s="2" t="s">
        <v>353</v>
      </c>
      <c r="F118" s="9">
        <v>45997</v>
      </c>
      <c r="G118" s="9">
        <v>45929</v>
      </c>
      <c r="H118" s="2" t="s">
        <v>4</v>
      </c>
      <c r="I118" s="2" t="s">
        <v>5</v>
      </c>
      <c r="J118" s="8">
        <v>79000</v>
      </c>
      <c r="K118" s="2" t="s">
        <v>6</v>
      </c>
      <c r="L118" s="8">
        <f>ROUND(VLOOKUP(F118,'[1]Офіційний курс гривні щодо ...'!$A$466:$G$929,7,)*J118,-3)</f>
        <v>3333000</v>
      </c>
      <c r="M118" s="8">
        <v>7992.8057553956833</v>
      </c>
      <c r="N118" s="9"/>
      <c r="O118" s="9" t="s">
        <v>354</v>
      </c>
      <c r="P118" s="9"/>
      <c r="Q118" s="9" t="s">
        <v>8</v>
      </c>
      <c r="R118" s="9"/>
    </row>
    <row r="119" spans="1:18" ht="52" hidden="1" x14ac:dyDescent="0.35">
      <c r="A119" s="2">
        <v>118</v>
      </c>
      <c r="B119" s="8">
        <v>1000000118</v>
      </c>
      <c r="C119" s="2" t="s">
        <v>355</v>
      </c>
      <c r="D119" s="2" t="s">
        <v>146</v>
      </c>
      <c r="E119" s="2" t="s">
        <v>356</v>
      </c>
      <c r="F119" s="9">
        <v>45997</v>
      </c>
      <c r="G119" s="9">
        <v>45892</v>
      </c>
      <c r="H119" s="2" t="s">
        <v>4</v>
      </c>
      <c r="I119" s="2" t="s">
        <v>5</v>
      </c>
      <c r="J119" s="8">
        <v>220000</v>
      </c>
      <c r="K119" s="2" t="s">
        <v>6</v>
      </c>
      <c r="L119" s="8">
        <f>ROUND(VLOOKUP(F119,'[1]Офіційний курс гривні щодо ...'!$A$466:$G$929,7,)*J119,-3)</f>
        <v>9280000</v>
      </c>
      <c r="M119" s="8">
        <v>32907.801418439718</v>
      </c>
      <c r="N119" s="9"/>
      <c r="O119" s="9" t="s">
        <v>357</v>
      </c>
      <c r="P119" s="9"/>
      <c r="Q119" s="9" t="s">
        <v>8</v>
      </c>
      <c r="R119" s="9"/>
    </row>
    <row r="120" spans="1:18" ht="182" hidden="1" x14ac:dyDescent="0.35">
      <c r="A120" s="2">
        <v>119</v>
      </c>
      <c r="B120" s="8">
        <v>1000000119</v>
      </c>
      <c r="C120" s="2" t="s">
        <v>358</v>
      </c>
      <c r="D120" s="2" t="s">
        <v>146</v>
      </c>
      <c r="E120" s="2" t="s">
        <v>359</v>
      </c>
      <c r="F120" s="9">
        <v>45997</v>
      </c>
      <c r="G120" s="9">
        <v>45874</v>
      </c>
      <c r="H120" s="2" t="s">
        <v>4</v>
      </c>
      <c r="I120" s="2" t="s">
        <v>5</v>
      </c>
      <c r="J120" s="8">
        <v>310000</v>
      </c>
      <c r="K120" s="2" t="s">
        <v>6</v>
      </c>
      <c r="L120" s="8">
        <f>ROUND(VLOOKUP(F120,'[1]Офіційний курс гривні щодо ...'!$A$466:$G$929,7,)*J120,-3)</f>
        <v>13077000</v>
      </c>
      <c r="M120" s="8">
        <v>20790.14308426073</v>
      </c>
      <c r="N120" s="9"/>
      <c r="O120" s="9" t="s">
        <v>360</v>
      </c>
      <c r="P120" s="9"/>
      <c r="Q120" s="9" t="s">
        <v>8</v>
      </c>
      <c r="R120" s="9"/>
    </row>
    <row r="121" spans="1:18" ht="182" hidden="1" x14ac:dyDescent="0.35">
      <c r="A121" s="2">
        <v>120</v>
      </c>
      <c r="B121" s="8">
        <v>1000000120</v>
      </c>
      <c r="C121" s="2" t="s">
        <v>361</v>
      </c>
      <c r="D121" s="2" t="s">
        <v>146</v>
      </c>
      <c r="E121" s="2" t="s">
        <v>362</v>
      </c>
      <c r="F121" s="9">
        <v>45997</v>
      </c>
      <c r="G121" s="9">
        <v>45955</v>
      </c>
      <c r="H121" s="2" t="s">
        <v>4</v>
      </c>
      <c r="I121" s="2" t="s">
        <v>5</v>
      </c>
      <c r="J121" s="8">
        <v>205000</v>
      </c>
      <c r="K121" s="2" t="s">
        <v>6</v>
      </c>
      <c r="L121" s="8">
        <f>ROUND(VLOOKUP(F121,'[1]Офіційний курс гривні щодо ...'!$A$466:$G$929,7,)*J121,-3)</f>
        <v>8648000</v>
      </c>
      <c r="M121" s="8">
        <v>14833.619210977702</v>
      </c>
      <c r="N121" s="9"/>
      <c r="O121" s="9" t="s">
        <v>363</v>
      </c>
      <c r="P121" s="9"/>
      <c r="Q121" s="9" t="s">
        <v>8</v>
      </c>
      <c r="R121" s="9"/>
    </row>
    <row r="122" spans="1:18" ht="104" hidden="1" x14ac:dyDescent="0.35">
      <c r="A122" s="2">
        <v>121</v>
      </c>
      <c r="B122" s="8">
        <v>1000000121</v>
      </c>
      <c r="C122" s="2" t="s">
        <v>364</v>
      </c>
      <c r="D122" s="2" t="s">
        <v>146</v>
      </c>
      <c r="E122" s="2" t="s">
        <v>365</v>
      </c>
      <c r="F122" s="9">
        <v>45997</v>
      </c>
      <c r="G122" s="9">
        <v>45854</v>
      </c>
      <c r="H122" s="2" t="s">
        <v>4</v>
      </c>
      <c r="I122" s="2" t="s">
        <v>5</v>
      </c>
      <c r="J122" s="8">
        <v>185000</v>
      </c>
      <c r="K122" s="2" t="s">
        <v>6</v>
      </c>
      <c r="L122" s="8">
        <f>ROUND(VLOOKUP(F122,'[1]Офіційний курс гривні щодо ...'!$A$466:$G$929,7,)*J122,-3)</f>
        <v>7804000</v>
      </c>
      <c r="M122" s="8">
        <v>12877.887788778879</v>
      </c>
      <c r="N122" s="9"/>
      <c r="O122" s="9" t="s">
        <v>366</v>
      </c>
      <c r="P122" s="9"/>
      <c r="Q122" s="9" t="s">
        <v>8</v>
      </c>
      <c r="R122" s="9"/>
    </row>
    <row r="123" spans="1:18" ht="91" hidden="1" x14ac:dyDescent="0.35">
      <c r="A123" s="2">
        <v>122</v>
      </c>
      <c r="B123" s="8">
        <v>1000000122</v>
      </c>
      <c r="C123" s="2" t="s">
        <v>367</v>
      </c>
      <c r="D123" s="2" t="s">
        <v>146</v>
      </c>
      <c r="E123" s="2" t="s">
        <v>368</v>
      </c>
      <c r="F123" s="9">
        <v>45997</v>
      </c>
      <c r="G123" s="9">
        <v>45812</v>
      </c>
      <c r="H123" s="2" t="s">
        <v>4</v>
      </c>
      <c r="I123" s="2" t="s">
        <v>5</v>
      </c>
      <c r="J123" s="8">
        <v>160000</v>
      </c>
      <c r="K123" s="2" t="s">
        <v>6</v>
      </c>
      <c r="L123" s="8">
        <f>ROUND(VLOOKUP(F123,'[1]Офіційний курс гривні щодо ...'!$A$466:$G$929,7,)*J123,-3)</f>
        <v>6749000</v>
      </c>
      <c r="M123" s="8">
        <v>15098.434004474273</v>
      </c>
      <c r="N123" s="9"/>
      <c r="O123" s="9" t="s">
        <v>369</v>
      </c>
      <c r="P123" s="9"/>
      <c r="Q123" s="9" t="s">
        <v>8</v>
      </c>
      <c r="R123" s="9"/>
    </row>
    <row r="124" spans="1:18" ht="182" hidden="1" x14ac:dyDescent="0.35">
      <c r="A124" s="2">
        <v>123</v>
      </c>
      <c r="B124" s="8">
        <v>1000000123</v>
      </c>
      <c r="C124" s="2" t="s">
        <v>370</v>
      </c>
      <c r="D124" s="2" t="s">
        <v>146</v>
      </c>
      <c r="E124" s="2" t="s">
        <v>371</v>
      </c>
      <c r="F124" s="9">
        <v>45997</v>
      </c>
      <c r="G124" s="9">
        <v>45893</v>
      </c>
      <c r="H124" s="2" t="s">
        <v>4</v>
      </c>
      <c r="I124" s="2" t="s">
        <v>5</v>
      </c>
      <c r="J124" s="8">
        <v>600000</v>
      </c>
      <c r="K124" s="2" t="s">
        <v>6</v>
      </c>
      <c r="L124" s="8">
        <f>ROUND(VLOOKUP(F124,'[1]Офіційний курс гривні щодо ...'!$A$466:$G$929,7,)*J124,-3)</f>
        <v>25310000</v>
      </c>
      <c r="M124" s="8">
        <v>29396.051103368176</v>
      </c>
      <c r="N124" s="9"/>
      <c r="O124" s="9" t="s">
        <v>372</v>
      </c>
      <c r="P124" s="9"/>
      <c r="Q124" s="9" t="s">
        <v>8</v>
      </c>
      <c r="R124" s="9"/>
    </row>
    <row r="125" spans="1:18" ht="195" hidden="1" x14ac:dyDescent="0.35">
      <c r="A125" s="2">
        <v>124</v>
      </c>
      <c r="B125" s="8">
        <v>1000000124</v>
      </c>
      <c r="C125" s="2" t="s">
        <v>373</v>
      </c>
      <c r="D125" s="2" t="s">
        <v>146</v>
      </c>
      <c r="E125" s="2" t="s">
        <v>374</v>
      </c>
      <c r="F125" s="9">
        <v>45997</v>
      </c>
      <c r="G125" s="9">
        <v>45806</v>
      </c>
      <c r="H125" s="2" t="s">
        <v>4</v>
      </c>
      <c r="I125" s="2" t="s">
        <v>5</v>
      </c>
      <c r="J125" s="8">
        <v>699000</v>
      </c>
      <c r="K125" s="2" t="s">
        <v>6</v>
      </c>
      <c r="L125" s="8">
        <f>ROUND(VLOOKUP(F125,'[1]Офіційний курс гривні щодо ...'!$A$466:$G$929,7,)*J125,-3)</f>
        <v>29486000</v>
      </c>
      <c r="M125" s="8">
        <v>29634.17085427136</v>
      </c>
      <c r="N125" s="9"/>
      <c r="O125" s="9" t="s">
        <v>375</v>
      </c>
      <c r="P125" s="9"/>
      <c r="Q125" s="9" t="s">
        <v>8</v>
      </c>
      <c r="R125" s="9"/>
    </row>
    <row r="126" spans="1:18" ht="182" hidden="1" x14ac:dyDescent="0.35">
      <c r="A126" s="2">
        <v>125</v>
      </c>
      <c r="B126" s="8">
        <v>1000000125</v>
      </c>
      <c r="C126" s="2" t="s">
        <v>376</v>
      </c>
      <c r="D126" s="2" t="s">
        <v>146</v>
      </c>
      <c r="E126" s="2" t="s">
        <v>377</v>
      </c>
      <c r="F126" s="9">
        <v>45997</v>
      </c>
      <c r="G126" s="9">
        <v>45993</v>
      </c>
      <c r="H126" s="2" t="s">
        <v>4</v>
      </c>
      <c r="I126" s="2" t="s">
        <v>5</v>
      </c>
      <c r="J126" s="8">
        <v>250000</v>
      </c>
      <c r="K126" s="2" t="s">
        <v>6</v>
      </c>
      <c r="L126" s="8">
        <f>ROUND(VLOOKUP(F126,'[1]Офіційний курс гривні щодо ...'!$A$466:$G$929,7,)*J126,-3)</f>
        <v>10546000</v>
      </c>
      <c r="M126" s="8">
        <v>26431.077694235588</v>
      </c>
      <c r="N126" s="9"/>
      <c r="O126" s="9" t="s">
        <v>378</v>
      </c>
      <c r="P126" s="9"/>
      <c r="Q126" s="9" t="s">
        <v>8</v>
      </c>
      <c r="R126" s="9"/>
    </row>
    <row r="127" spans="1:18" ht="78" hidden="1" x14ac:dyDescent="0.35">
      <c r="A127" s="2">
        <v>126</v>
      </c>
      <c r="B127" s="8">
        <v>1000000126</v>
      </c>
      <c r="C127" s="2" t="s">
        <v>379</v>
      </c>
      <c r="D127" s="2" t="s">
        <v>146</v>
      </c>
      <c r="E127" s="2" t="s">
        <v>380</v>
      </c>
      <c r="F127" s="9">
        <v>45997</v>
      </c>
      <c r="G127" s="9">
        <v>45978</v>
      </c>
      <c r="H127" s="2" t="s">
        <v>4</v>
      </c>
      <c r="I127" s="2" t="s">
        <v>5</v>
      </c>
      <c r="J127" s="8">
        <v>183000</v>
      </c>
      <c r="K127" s="2" t="s">
        <v>6</v>
      </c>
      <c r="L127" s="8">
        <f>ROUND(VLOOKUP(F127,'[1]Офіційний курс гривні щодо ...'!$A$466:$G$929,7,)*J127,-3)</f>
        <v>7720000</v>
      </c>
      <c r="M127" s="8">
        <v>16566.523605150214</v>
      </c>
      <c r="N127" s="9"/>
      <c r="O127" s="9" t="s">
        <v>381</v>
      </c>
      <c r="P127" s="9"/>
      <c r="Q127" s="9" t="s">
        <v>8</v>
      </c>
      <c r="R127" s="9"/>
    </row>
    <row r="128" spans="1:18" ht="208" hidden="1" x14ac:dyDescent="0.35">
      <c r="A128" s="2">
        <v>127</v>
      </c>
      <c r="B128" s="8">
        <v>1000000127</v>
      </c>
      <c r="C128" s="2" t="s">
        <v>382</v>
      </c>
      <c r="D128" s="2" t="s">
        <v>146</v>
      </c>
      <c r="E128" s="2" t="s">
        <v>383</v>
      </c>
      <c r="F128" s="9">
        <v>45997</v>
      </c>
      <c r="G128" s="9">
        <v>45965</v>
      </c>
      <c r="H128" s="2" t="s">
        <v>4</v>
      </c>
      <c r="I128" s="2" t="s">
        <v>5</v>
      </c>
      <c r="J128" s="8">
        <v>179000</v>
      </c>
      <c r="K128" s="2" t="s">
        <v>6</v>
      </c>
      <c r="L128" s="8">
        <f>ROUND(VLOOKUP(F128,'[1]Офіційний курс гривні щодо ...'!$A$466:$G$929,7,)*J128,-3)</f>
        <v>7551000</v>
      </c>
      <c r="M128" s="8">
        <v>16668.874172185431</v>
      </c>
      <c r="N128" s="9"/>
      <c r="O128" s="9" t="s">
        <v>384</v>
      </c>
      <c r="P128" s="9"/>
      <c r="Q128" s="9" t="s">
        <v>8</v>
      </c>
      <c r="R128" s="9"/>
    </row>
    <row r="129" spans="1:18" ht="182" hidden="1" x14ac:dyDescent="0.35">
      <c r="A129" s="2">
        <v>128</v>
      </c>
      <c r="B129" s="8">
        <v>1000000128</v>
      </c>
      <c r="C129" s="2" t="s">
        <v>385</v>
      </c>
      <c r="D129" s="2" t="s">
        <v>146</v>
      </c>
      <c r="E129" s="2" t="s">
        <v>386</v>
      </c>
      <c r="F129" s="9">
        <v>45997</v>
      </c>
      <c r="G129" s="9">
        <v>45920</v>
      </c>
      <c r="H129" s="2" t="s">
        <v>4</v>
      </c>
      <c r="I129" s="2" t="s">
        <v>5</v>
      </c>
      <c r="J129" s="8">
        <v>138000</v>
      </c>
      <c r="K129" s="2" t="s">
        <v>6</v>
      </c>
      <c r="L129" s="8">
        <f>ROUND(VLOOKUP(F129,'[1]Офіційний курс гривні щодо ...'!$A$466:$G$929,7,)*J129,-3)</f>
        <v>5821000</v>
      </c>
      <c r="M129" s="8">
        <v>9717.8631051752927</v>
      </c>
      <c r="N129" s="9"/>
      <c r="O129" s="9" t="s">
        <v>387</v>
      </c>
      <c r="P129" s="9"/>
      <c r="Q129" s="9" t="s">
        <v>8</v>
      </c>
      <c r="R129" s="9"/>
    </row>
    <row r="130" spans="1:18" ht="143" hidden="1" x14ac:dyDescent="0.35">
      <c r="A130" s="2">
        <v>129</v>
      </c>
      <c r="B130" s="8">
        <v>1000000129</v>
      </c>
      <c r="C130" s="2" t="s">
        <v>388</v>
      </c>
      <c r="D130" s="2" t="s">
        <v>146</v>
      </c>
      <c r="E130" s="2" t="s">
        <v>389</v>
      </c>
      <c r="F130" s="9">
        <v>45997</v>
      </c>
      <c r="G130" s="9">
        <v>45906</v>
      </c>
      <c r="H130" s="2" t="s">
        <v>4</v>
      </c>
      <c r="I130" s="2" t="s">
        <v>5</v>
      </c>
      <c r="J130" s="8">
        <v>180000</v>
      </c>
      <c r="K130" s="2" t="s">
        <v>6</v>
      </c>
      <c r="L130" s="8">
        <f>ROUND(VLOOKUP(F130,'[1]Офіційний курс гривні щодо ...'!$A$466:$G$929,7,)*J130,-3)</f>
        <v>7593000</v>
      </c>
      <c r="M130" s="8">
        <v>26273.356401384084</v>
      </c>
      <c r="N130" s="9"/>
      <c r="O130" s="9" t="s">
        <v>390</v>
      </c>
      <c r="P130" s="9"/>
      <c r="Q130" s="9" t="s">
        <v>8</v>
      </c>
      <c r="R130" s="9"/>
    </row>
    <row r="131" spans="1:18" ht="104" hidden="1" x14ac:dyDescent="0.35">
      <c r="A131" s="2">
        <v>130</v>
      </c>
      <c r="B131" s="8">
        <v>1000000130</v>
      </c>
      <c r="C131" s="2" t="s">
        <v>391</v>
      </c>
      <c r="D131" s="2" t="s">
        <v>146</v>
      </c>
      <c r="E131" s="2" t="s">
        <v>392</v>
      </c>
      <c r="F131" s="9">
        <v>45997</v>
      </c>
      <c r="G131" s="9">
        <v>45920</v>
      </c>
      <c r="H131" s="2" t="s">
        <v>4</v>
      </c>
      <c r="I131" s="2" t="s">
        <v>5</v>
      </c>
      <c r="J131" s="8">
        <v>135000</v>
      </c>
      <c r="K131" s="2" t="s">
        <v>6</v>
      </c>
      <c r="L131" s="8">
        <f>ROUND(VLOOKUP(F131,'[1]Офіційний курс гривні щодо ...'!$A$466:$G$929,7,)*J131,-3)</f>
        <v>5695000</v>
      </c>
      <c r="M131" s="8">
        <v>8926.3322884012541</v>
      </c>
      <c r="N131" s="9"/>
      <c r="O131" s="9" t="s">
        <v>393</v>
      </c>
      <c r="P131" s="9"/>
      <c r="Q131" s="9" t="s">
        <v>8</v>
      </c>
      <c r="R131" s="9"/>
    </row>
    <row r="132" spans="1:18" ht="221" hidden="1" x14ac:dyDescent="0.35">
      <c r="A132" s="2">
        <v>131</v>
      </c>
      <c r="B132" s="8">
        <v>1000000131</v>
      </c>
      <c r="C132" s="2" t="s">
        <v>394</v>
      </c>
      <c r="D132" s="2" t="s">
        <v>146</v>
      </c>
      <c r="E132" s="2" t="s">
        <v>395</v>
      </c>
      <c r="F132" s="9">
        <v>45997</v>
      </c>
      <c r="G132" s="9">
        <v>45740</v>
      </c>
      <c r="H132" s="2" t="s">
        <v>4</v>
      </c>
      <c r="I132" s="2" t="s">
        <v>5</v>
      </c>
      <c r="J132" s="8">
        <v>275000</v>
      </c>
      <c r="K132" s="2" t="s">
        <v>6</v>
      </c>
      <c r="L132" s="8">
        <f>ROUND(VLOOKUP(F132,'[1]Офіційний курс гривні щодо ...'!$A$466:$G$929,7,)*J132,-3)</f>
        <v>11601000</v>
      </c>
      <c r="M132" s="8">
        <v>41065.486725663715</v>
      </c>
      <c r="N132" s="9"/>
      <c r="O132" s="9" t="s">
        <v>396</v>
      </c>
      <c r="P132" s="9"/>
      <c r="Q132" s="9" t="s">
        <v>8</v>
      </c>
      <c r="R132" s="9"/>
    </row>
    <row r="133" spans="1:18" ht="247" hidden="1" x14ac:dyDescent="0.35">
      <c r="A133" s="2">
        <v>132</v>
      </c>
      <c r="B133" s="8">
        <v>1000000132</v>
      </c>
      <c r="C133" s="2" t="s">
        <v>397</v>
      </c>
      <c r="D133" s="2" t="s">
        <v>146</v>
      </c>
      <c r="E133" s="2" t="s">
        <v>398</v>
      </c>
      <c r="F133" s="9">
        <v>45998</v>
      </c>
      <c r="G133" s="9">
        <v>45856</v>
      </c>
      <c r="H133" s="2" t="s">
        <v>4</v>
      </c>
      <c r="I133" s="2" t="s">
        <v>5</v>
      </c>
      <c r="J133" s="8">
        <v>155000</v>
      </c>
      <c r="K133" s="2" t="s">
        <v>6</v>
      </c>
      <c r="L133" s="8">
        <f>ROUND(VLOOKUP(F133,'[1]Офіційний курс гривні щодо ...'!$A$466:$G$929,7,)*J133,-3)</f>
        <v>6538000</v>
      </c>
      <c r="M133" s="8">
        <v>11176.068376068377</v>
      </c>
      <c r="N133" s="9"/>
      <c r="O133" s="9" t="s">
        <v>399</v>
      </c>
      <c r="P133" s="9"/>
      <c r="Q133" s="9" t="s">
        <v>8</v>
      </c>
      <c r="R133" s="9"/>
    </row>
    <row r="134" spans="1:18" ht="130" hidden="1" x14ac:dyDescent="0.35">
      <c r="A134" s="2">
        <v>133</v>
      </c>
      <c r="B134" s="8">
        <v>1000000133</v>
      </c>
      <c r="C134" s="2" t="s">
        <v>400</v>
      </c>
      <c r="D134" s="2" t="s">
        <v>146</v>
      </c>
      <c r="E134" s="2" t="s">
        <v>401</v>
      </c>
      <c r="F134" s="9">
        <v>45998</v>
      </c>
      <c r="G134" s="9">
        <v>45745</v>
      </c>
      <c r="H134" s="2" t="s">
        <v>4</v>
      </c>
      <c r="I134" s="2" t="s">
        <v>5</v>
      </c>
      <c r="J134" s="8">
        <v>240000</v>
      </c>
      <c r="K134" s="2" t="s">
        <v>6</v>
      </c>
      <c r="L134" s="8">
        <f>ROUND(VLOOKUP(F134,'[1]Офіційний курс гривні щодо ...'!$A$466:$G$929,7,)*J134,-3)</f>
        <v>10124000</v>
      </c>
      <c r="M134" s="8">
        <v>17159.322033898305</v>
      </c>
      <c r="N134" s="9"/>
      <c r="O134" s="9" t="s">
        <v>402</v>
      </c>
      <c r="P134" s="9"/>
      <c r="Q134" s="9" t="s">
        <v>8</v>
      </c>
      <c r="R134" s="9"/>
    </row>
    <row r="135" spans="1:18" ht="208" hidden="1" x14ac:dyDescent="0.35">
      <c r="A135" s="2">
        <v>134</v>
      </c>
      <c r="B135" s="8">
        <v>1000000134</v>
      </c>
      <c r="C135" s="2" t="s">
        <v>403</v>
      </c>
      <c r="D135" s="2" t="s">
        <v>146</v>
      </c>
      <c r="E135" s="2" t="s">
        <v>404</v>
      </c>
      <c r="F135" s="9">
        <v>45998</v>
      </c>
      <c r="G135" s="9">
        <v>45854</v>
      </c>
      <c r="H135" s="2" t="s">
        <v>4</v>
      </c>
      <c r="I135" s="2" t="s">
        <v>5</v>
      </c>
      <c r="J135" s="8">
        <v>359000</v>
      </c>
      <c r="K135" s="2" t="s">
        <v>6</v>
      </c>
      <c r="L135" s="8">
        <f>ROUND(VLOOKUP(F135,'[1]Офіційний курс гривні щодо ...'!$A$466:$G$929,7,)*J135,-3)</f>
        <v>15144000</v>
      </c>
      <c r="M135" s="8">
        <v>15144</v>
      </c>
      <c r="N135" s="9"/>
      <c r="O135" s="9" t="s">
        <v>405</v>
      </c>
      <c r="P135" s="9"/>
      <c r="Q135" s="9" t="s">
        <v>8</v>
      </c>
      <c r="R135" s="9"/>
    </row>
    <row r="136" spans="1:18" ht="208" hidden="1" x14ac:dyDescent="0.35">
      <c r="A136" s="2">
        <v>135</v>
      </c>
      <c r="B136" s="8">
        <v>1000000135</v>
      </c>
      <c r="C136" s="2" t="s">
        <v>406</v>
      </c>
      <c r="D136" s="2" t="s">
        <v>146</v>
      </c>
      <c r="E136" s="2" t="s">
        <v>407</v>
      </c>
      <c r="F136" s="9">
        <v>45998</v>
      </c>
      <c r="G136" s="9">
        <v>45945</v>
      </c>
      <c r="H136" s="2" t="s">
        <v>4</v>
      </c>
      <c r="I136" s="2" t="s">
        <v>5</v>
      </c>
      <c r="J136" s="8">
        <v>310000</v>
      </c>
      <c r="K136" s="2" t="s">
        <v>6</v>
      </c>
      <c r="L136" s="8">
        <f>ROUND(VLOOKUP(F136,'[1]Офіційний курс гривні щодо ...'!$A$466:$G$929,7,)*J136,-3)</f>
        <v>13077000</v>
      </c>
      <c r="M136" s="8">
        <v>44479.591836734697</v>
      </c>
      <c r="N136" s="9"/>
      <c r="O136" s="9" t="s">
        <v>408</v>
      </c>
      <c r="P136" s="9"/>
      <c r="Q136" s="9" t="s">
        <v>8</v>
      </c>
      <c r="R136" s="9"/>
    </row>
    <row r="137" spans="1:18" ht="130" hidden="1" x14ac:dyDescent="0.35">
      <c r="A137" s="2">
        <v>136</v>
      </c>
      <c r="B137" s="8">
        <v>1000000136</v>
      </c>
      <c r="C137" s="2" t="s">
        <v>409</v>
      </c>
      <c r="D137" s="2" t="s">
        <v>146</v>
      </c>
      <c r="E137" s="2" t="s">
        <v>410</v>
      </c>
      <c r="F137" s="9">
        <v>45998</v>
      </c>
      <c r="G137" s="9">
        <v>45799</v>
      </c>
      <c r="H137" s="2" t="s">
        <v>4</v>
      </c>
      <c r="I137" s="2" t="s">
        <v>5</v>
      </c>
      <c r="J137" s="8">
        <v>80000</v>
      </c>
      <c r="K137" s="2" t="s">
        <v>6</v>
      </c>
      <c r="L137" s="8">
        <f>ROUND(VLOOKUP(F137,'[1]Офіційний курс гривні щодо ...'!$A$466:$G$929,7,)*J137,-3)</f>
        <v>3375000</v>
      </c>
      <c r="M137" s="8">
        <v>12228.260869565218</v>
      </c>
      <c r="N137" s="9"/>
      <c r="O137" s="9" t="s">
        <v>411</v>
      </c>
      <c r="P137" s="9"/>
      <c r="Q137" s="9" t="s">
        <v>8</v>
      </c>
      <c r="R137" s="9"/>
    </row>
    <row r="138" spans="1:18" ht="104" hidden="1" x14ac:dyDescent="0.35">
      <c r="A138" s="2">
        <v>137</v>
      </c>
      <c r="B138" s="8">
        <v>1000000137</v>
      </c>
      <c r="C138" s="2" t="s">
        <v>412</v>
      </c>
      <c r="D138" s="2" t="s">
        <v>146</v>
      </c>
      <c r="E138" s="2" t="s">
        <v>413</v>
      </c>
      <c r="F138" s="9">
        <v>45998</v>
      </c>
      <c r="G138" s="9">
        <v>45932</v>
      </c>
      <c r="H138" s="2" t="s">
        <v>4</v>
      </c>
      <c r="I138" s="2" t="s">
        <v>5</v>
      </c>
      <c r="J138" s="8">
        <v>135000</v>
      </c>
      <c r="K138" s="2" t="s">
        <v>6</v>
      </c>
      <c r="L138" s="8">
        <f>ROUND(VLOOKUP(F138,'[1]Офіційний курс гривні щодо ...'!$A$466:$G$929,7,)*J138,-3)</f>
        <v>5695000</v>
      </c>
      <c r="M138" s="8">
        <v>5695</v>
      </c>
      <c r="N138" s="9"/>
      <c r="O138" s="9" t="s">
        <v>414</v>
      </c>
      <c r="P138" s="9"/>
      <c r="Q138" s="9" t="s">
        <v>8</v>
      </c>
      <c r="R138" s="9"/>
    </row>
    <row r="139" spans="1:18" ht="91" hidden="1" x14ac:dyDescent="0.35">
      <c r="A139" s="2">
        <v>138</v>
      </c>
      <c r="B139" s="8">
        <v>1000000138</v>
      </c>
      <c r="C139" s="2" t="s">
        <v>415</v>
      </c>
      <c r="D139" s="2" t="s">
        <v>146</v>
      </c>
      <c r="E139" s="2" t="s">
        <v>416</v>
      </c>
      <c r="F139" s="9">
        <v>45998</v>
      </c>
      <c r="G139" s="9">
        <v>45931</v>
      </c>
      <c r="H139" s="2" t="s">
        <v>4</v>
      </c>
      <c r="I139" s="2" t="s">
        <v>5</v>
      </c>
      <c r="J139" s="8">
        <v>120000</v>
      </c>
      <c r="K139" s="2" t="s">
        <v>6</v>
      </c>
      <c r="L139" s="8">
        <f>ROUND(VLOOKUP(F139,'[1]Офіційний курс гривні щодо ...'!$A$466:$G$929,7,)*J139,-3)</f>
        <v>5062000</v>
      </c>
      <c r="M139" s="8">
        <v>5062</v>
      </c>
      <c r="N139" s="9"/>
      <c r="O139" s="9" t="s">
        <v>417</v>
      </c>
      <c r="P139" s="9"/>
      <c r="Q139" s="9" t="s">
        <v>8</v>
      </c>
      <c r="R139" s="9"/>
    </row>
    <row r="140" spans="1:18" ht="143" hidden="1" x14ac:dyDescent="0.35">
      <c r="A140" s="2">
        <v>139</v>
      </c>
      <c r="B140" s="8">
        <v>1000000139</v>
      </c>
      <c r="C140" s="2" t="s">
        <v>418</v>
      </c>
      <c r="D140" s="2" t="s">
        <v>146</v>
      </c>
      <c r="E140" s="2" t="s">
        <v>419</v>
      </c>
      <c r="F140" s="9">
        <v>45998</v>
      </c>
      <c r="G140" s="9">
        <v>45983</v>
      </c>
      <c r="H140" s="2" t="s">
        <v>4</v>
      </c>
      <c r="I140" s="2" t="s">
        <v>5</v>
      </c>
      <c r="J140" s="8">
        <v>95000</v>
      </c>
      <c r="K140" s="2" t="s">
        <v>6</v>
      </c>
      <c r="L140" s="8">
        <f>ROUND(VLOOKUP(F140,'[1]Офіційний курс гривні щодо ...'!$A$466:$G$929,7,)*J140,-3)</f>
        <v>4007000</v>
      </c>
      <c r="M140" s="8">
        <v>23851.190476190477</v>
      </c>
      <c r="N140" s="9"/>
      <c r="O140" s="9" t="s">
        <v>420</v>
      </c>
      <c r="P140" s="9"/>
      <c r="Q140" s="9" t="s">
        <v>8</v>
      </c>
      <c r="R140" s="9"/>
    </row>
    <row r="141" spans="1:18" ht="91" hidden="1" x14ac:dyDescent="0.35">
      <c r="A141" s="2">
        <v>140</v>
      </c>
      <c r="B141" s="8">
        <v>1000000140</v>
      </c>
      <c r="C141" s="2" t="s">
        <v>421</v>
      </c>
      <c r="D141" s="2" t="s">
        <v>146</v>
      </c>
      <c r="E141" s="2" t="s">
        <v>422</v>
      </c>
      <c r="F141" s="9">
        <v>45998</v>
      </c>
      <c r="G141" s="9">
        <v>45932</v>
      </c>
      <c r="H141" s="2" t="s">
        <v>4</v>
      </c>
      <c r="I141" s="2" t="s">
        <v>5</v>
      </c>
      <c r="J141" s="8">
        <v>169000</v>
      </c>
      <c r="K141" s="2" t="s">
        <v>6</v>
      </c>
      <c r="L141" s="8">
        <f>ROUND(VLOOKUP(F141,'[1]Офіційний курс гривні щодо ...'!$A$466:$G$929,7,)*J141,-3)</f>
        <v>7129000</v>
      </c>
      <c r="M141" s="8">
        <v>7129</v>
      </c>
      <c r="N141" s="9"/>
      <c r="O141" s="9" t="s">
        <v>423</v>
      </c>
      <c r="P141" s="9"/>
      <c r="Q141" s="9" t="s">
        <v>8</v>
      </c>
      <c r="R141" s="9"/>
    </row>
    <row r="142" spans="1:18" ht="104" hidden="1" x14ac:dyDescent="0.35">
      <c r="A142" s="2">
        <v>141</v>
      </c>
      <c r="B142" s="8">
        <v>1000000141</v>
      </c>
      <c r="C142" s="2" t="s">
        <v>424</v>
      </c>
      <c r="D142" s="2" t="s">
        <v>146</v>
      </c>
      <c r="E142" s="2" t="s">
        <v>425</v>
      </c>
      <c r="F142" s="9">
        <v>45998</v>
      </c>
      <c r="G142" s="9">
        <v>45928</v>
      </c>
      <c r="H142" s="2" t="s">
        <v>4</v>
      </c>
      <c r="I142" s="2" t="s">
        <v>5</v>
      </c>
      <c r="J142" s="8">
        <v>550000</v>
      </c>
      <c r="K142" s="2" t="s">
        <v>6</v>
      </c>
      <c r="L142" s="8">
        <f>ROUND(VLOOKUP(F142,'[1]Офіційний курс гривні щодо ...'!$A$466:$G$929,7,)*J142,-3)</f>
        <v>23201000</v>
      </c>
      <c r="M142" s="8">
        <v>38222.405271828662</v>
      </c>
      <c r="N142" s="9"/>
      <c r="O142" s="9" t="s">
        <v>426</v>
      </c>
      <c r="P142" s="9"/>
      <c r="Q142" s="9" t="s">
        <v>8</v>
      </c>
      <c r="R142" s="9"/>
    </row>
    <row r="143" spans="1:18" ht="247" hidden="1" x14ac:dyDescent="0.35">
      <c r="A143" s="2">
        <v>142</v>
      </c>
      <c r="B143" s="8">
        <v>1000000142</v>
      </c>
      <c r="C143" s="2" t="s">
        <v>427</v>
      </c>
      <c r="D143" s="2" t="s">
        <v>146</v>
      </c>
      <c r="E143" s="2" t="s">
        <v>428</v>
      </c>
      <c r="F143" s="9">
        <v>45998</v>
      </c>
      <c r="G143" s="9">
        <v>45887</v>
      </c>
      <c r="H143" s="2" t="s">
        <v>4</v>
      </c>
      <c r="I143" s="2" t="s">
        <v>5</v>
      </c>
      <c r="J143" s="8">
        <v>1500000</v>
      </c>
      <c r="K143" s="2" t="s">
        <v>6</v>
      </c>
      <c r="L143" s="8">
        <f>ROUND(VLOOKUP(F143,'[1]Офіційний курс гривні щодо ...'!$A$466:$G$929,7,)*J143,-3)</f>
        <v>63276000</v>
      </c>
      <c r="M143" s="8">
        <v>69841.059602649009</v>
      </c>
      <c r="N143" s="9"/>
      <c r="O143" s="9" t="s">
        <v>429</v>
      </c>
      <c r="P143" s="9"/>
      <c r="Q143" s="9" t="s">
        <v>8</v>
      </c>
      <c r="R143" s="9"/>
    </row>
    <row r="144" spans="1:18" ht="195" hidden="1" x14ac:dyDescent="0.35">
      <c r="A144" s="2">
        <v>143</v>
      </c>
      <c r="B144" s="8">
        <v>1000000143</v>
      </c>
      <c r="C144" s="2" t="s">
        <v>430</v>
      </c>
      <c r="D144" s="2" t="s">
        <v>146</v>
      </c>
      <c r="E144" s="2" t="s">
        <v>431</v>
      </c>
      <c r="F144" s="9">
        <v>45998</v>
      </c>
      <c r="G144" s="9">
        <v>45744</v>
      </c>
      <c r="H144" s="2" t="s">
        <v>4</v>
      </c>
      <c r="I144" s="2" t="s">
        <v>5</v>
      </c>
      <c r="J144" s="8">
        <v>477000</v>
      </c>
      <c r="K144" s="2" t="s">
        <v>6</v>
      </c>
      <c r="L144" s="8">
        <f>ROUND(VLOOKUP(F144,'[1]Офіційний курс гривні щодо ...'!$A$466:$G$929,7,)*J144,-3)</f>
        <v>20122000</v>
      </c>
      <c r="M144" s="8">
        <v>27564.383561643837</v>
      </c>
      <c r="N144" s="9"/>
      <c r="O144" s="9" t="s">
        <v>432</v>
      </c>
      <c r="P144" s="9"/>
      <c r="Q144" s="9" t="s">
        <v>8</v>
      </c>
      <c r="R144" s="9"/>
    </row>
    <row r="145" spans="1:18" ht="91" hidden="1" x14ac:dyDescent="0.35">
      <c r="A145" s="2">
        <v>144</v>
      </c>
      <c r="B145" s="8">
        <v>1000000144</v>
      </c>
      <c r="C145" s="2" t="s">
        <v>433</v>
      </c>
      <c r="D145" s="2" t="s">
        <v>146</v>
      </c>
      <c r="E145" s="2" t="s">
        <v>434</v>
      </c>
      <c r="F145" s="9">
        <v>45998</v>
      </c>
      <c r="G145" s="9">
        <v>45913</v>
      </c>
      <c r="H145" s="2" t="s">
        <v>4</v>
      </c>
      <c r="I145" s="2" t="s">
        <v>5</v>
      </c>
      <c r="J145" s="8">
        <v>260000</v>
      </c>
      <c r="K145" s="2" t="s">
        <v>6</v>
      </c>
      <c r="L145" s="8">
        <f>ROUND(VLOOKUP(F145,'[1]Офіційний курс гривні щодо ...'!$A$466:$G$929,7,)*J145,-3)</f>
        <v>10968000</v>
      </c>
      <c r="M145" s="8">
        <v>22708.074534161489</v>
      </c>
      <c r="N145" s="9"/>
      <c r="O145" s="9" t="s">
        <v>435</v>
      </c>
      <c r="P145" s="9"/>
      <c r="Q145" s="9" t="s">
        <v>8</v>
      </c>
      <c r="R145" s="9"/>
    </row>
    <row r="146" spans="1:18" ht="169" hidden="1" x14ac:dyDescent="0.35">
      <c r="A146" s="2">
        <v>145</v>
      </c>
      <c r="B146" s="8">
        <v>1000000145</v>
      </c>
      <c r="C146" s="2" t="s">
        <v>436</v>
      </c>
      <c r="D146" s="2" t="s">
        <v>146</v>
      </c>
      <c r="E146" s="2" t="s">
        <v>437</v>
      </c>
      <c r="F146" s="9">
        <v>45998</v>
      </c>
      <c r="G146" s="9">
        <v>45865</v>
      </c>
      <c r="H146" s="2" t="s">
        <v>4</v>
      </c>
      <c r="I146" s="2" t="s">
        <v>5</v>
      </c>
      <c r="J146" s="8">
        <v>1170000</v>
      </c>
      <c r="K146" s="2" t="s">
        <v>6</v>
      </c>
      <c r="L146" s="8">
        <f>ROUND(VLOOKUP(F146,'[1]Офіційний курс гривні щодо ...'!$A$466:$G$929,7,)*J146,-3)</f>
        <v>49355000</v>
      </c>
      <c r="M146" s="8">
        <v>211824.03433476394</v>
      </c>
      <c r="N146" s="9"/>
      <c r="O146" s="9" t="s">
        <v>438</v>
      </c>
      <c r="P146" s="9"/>
      <c r="Q146" s="9" t="s">
        <v>8</v>
      </c>
      <c r="R146" s="9"/>
    </row>
    <row r="147" spans="1:18" ht="169" x14ac:dyDescent="0.35">
      <c r="A147" s="2">
        <v>146</v>
      </c>
      <c r="B147" s="8">
        <v>1000000146</v>
      </c>
      <c r="C147" s="2" t="s">
        <v>439</v>
      </c>
      <c r="D147" s="2" t="s">
        <v>146</v>
      </c>
      <c r="E147" s="2" t="s">
        <v>440</v>
      </c>
      <c r="F147" s="9">
        <v>45998</v>
      </c>
      <c r="G147" s="9">
        <v>45671</v>
      </c>
      <c r="H147" s="2" t="s">
        <v>4</v>
      </c>
      <c r="I147" s="2" t="s">
        <v>5</v>
      </c>
      <c r="J147" s="8">
        <v>9231308</v>
      </c>
      <c r="K147" s="2" t="s">
        <v>6</v>
      </c>
      <c r="L147" s="8">
        <f>ROUND(VLOOKUP(F147,'[1]Офіційний курс гривні щодо ...'!$A$466:$G$929,7,)*J147,-3)</f>
        <v>389412000</v>
      </c>
      <c r="M147" s="8">
        <v>401042.22451081354</v>
      </c>
      <c r="N147" s="9"/>
      <c r="O147" s="9" t="s">
        <v>441</v>
      </c>
      <c r="P147" s="9"/>
      <c r="Q147" s="9" t="s">
        <v>8</v>
      </c>
      <c r="R147" s="9"/>
    </row>
    <row r="148" spans="1:18" ht="182" hidden="1" x14ac:dyDescent="0.35">
      <c r="A148" s="2">
        <v>147</v>
      </c>
      <c r="B148" s="8">
        <v>1000000147</v>
      </c>
      <c r="C148" s="2" t="s">
        <v>442</v>
      </c>
      <c r="D148" s="2" t="s">
        <v>146</v>
      </c>
      <c r="E148" s="2" t="s">
        <v>443</v>
      </c>
      <c r="F148" s="9">
        <v>45998</v>
      </c>
      <c r="G148" s="9">
        <v>45404</v>
      </c>
      <c r="H148" s="2" t="s">
        <v>4</v>
      </c>
      <c r="I148" s="2" t="s">
        <v>5</v>
      </c>
      <c r="J148" s="8">
        <v>1100000</v>
      </c>
      <c r="K148" s="2" t="s">
        <v>6</v>
      </c>
      <c r="L148" s="8">
        <f>ROUND(VLOOKUP(F148,'[1]Офіційний курс гривні щодо ...'!$A$466:$G$929,7,)*J148,-3)</f>
        <v>46402000</v>
      </c>
      <c r="M148" s="8">
        <v>46402</v>
      </c>
      <c r="N148" s="9"/>
      <c r="O148" s="9" t="s">
        <v>444</v>
      </c>
      <c r="P148" s="9"/>
      <c r="Q148" s="9" t="s">
        <v>8</v>
      </c>
      <c r="R148" s="9"/>
    </row>
    <row r="149" spans="1:18" ht="156" hidden="1" x14ac:dyDescent="0.35">
      <c r="A149" s="2">
        <v>148</v>
      </c>
      <c r="B149" s="8">
        <v>1000000148</v>
      </c>
      <c r="C149" s="2" t="s">
        <v>445</v>
      </c>
      <c r="D149" s="2" t="s">
        <v>146</v>
      </c>
      <c r="E149" s="2" t="s">
        <v>446</v>
      </c>
      <c r="F149" s="9">
        <v>45998</v>
      </c>
      <c r="G149" s="9">
        <v>45489</v>
      </c>
      <c r="H149" s="2" t="s">
        <v>4</v>
      </c>
      <c r="I149" s="2" t="s">
        <v>5</v>
      </c>
      <c r="J149" s="8">
        <v>2100000</v>
      </c>
      <c r="K149" s="2" t="s">
        <v>6</v>
      </c>
      <c r="L149" s="8">
        <f>ROUND(VLOOKUP(F149,'[1]Офіційний курс гривні щодо ...'!$A$466:$G$929,7,)*J149,-3)</f>
        <v>88586000</v>
      </c>
      <c r="M149" s="8">
        <v>111569.26952141058</v>
      </c>
      <c r="N149" s="9"/>
      <c r="O149" s="9" t="s">
        <v>447</v>
      </c>
      <c r="P149" s="9"/>
      <c r="Q149" s="9" t="s">
        <v>8</v>
      </c>
      <c r="R149" s="9"/>
    </row>
    <row r="150" spans="1:18" ht="338" hidden="1" x14ac:dyDescent="0.35">
      <c r="A150" s="2">
        <v>149</v>
      </c>
      <c r="B150" s="8">
        <v>1000000149</v>
      </c>
      <c r="C150" s="2" t="s">
        <v>448</v>
      </c>
      <c r="D150" s="2" t="s">
        <v>146</v>
      </c>
      <c r="E150" s="2" t="s">
        <v>449</v>
      </c>
      <c r="F150" s="9">
        <v>46000</v>
      </c>
      <c r="G150" s="9">
        <v>45426</v>
      </c>
      <c r="H150" s="2" t="s">
        <v>4</v>
      </c>
      <c r="I150" s="2" t="s">
        <v>5</v>
      </c>
      <c r="J150" s="8">
        <v>405000</v>
      </c>
      <c r="K150" s="2" t="s">
        <v>6</v>
      </c>
      <c r="L150" s="8">
        <f>ROUND(VLOOKUP(F150,'[1]Офіційний курс гривні щодо ...'!$A$466:$G$929,7,)*J150,-3)</f>
        <v>17038000</v>
      </c>
      <c r="M150" s="8">
        <v>17038</v>
      </c>
      <c r="N150" s="9"/>
      <c r="O150" s="9" t="s">
        <v>450</v>
      </c>
      <c r="P150" s="9"/>
      <c r="Q150" s="9" t="s">
        <v>8</v>
      </c>
      <c r="R150" s="9"/>
    </row>
    <row r="151" spans="1:18" ht="234" hidden="1" x14ac:dyDescent="0.35">
      <c r="A151" s="2">
        <v>150</v>
      </c>
      <c r="B151" s="8">
        <v>1000000150</v>
      </c>
      <c r="C151" s="2" t="s">
        <v>451</v>
      </c>
      <c r="D151" s="2" t="s">
        <v>146</v>
      </c>
      <c r="E151" s="2" t="s">
        <v>452</v>
      </c>
      <c r="F151" s="9">
        <v>46000</v>
      </c>
      <c r="G151" s="9">
        <v>45980</v>
      </c>
      <c r="H151" s="2" t="s">
        <v>4</v>
      </c>
      <c r="I151" s="2" t="s">
        <v>5</v>
      </c>
      <c r="J151" s="8">
        <v>237000</v>
      </c>
      <c r="K151" s="2" t="s">
        <v>6</v>
      </c>
      <c r="L151" s="8">
        <f>ROUND(VLOOKUP(F151,'[1]Офіційний курс гривні щодо ...'!$A$466:$G$929,7,)*J151,-3)</f>
        <v>9971000</v>
      </c>
      <c r="M151" s="8">
        <v>9971</v>
      </c>
      <c r="N151" s="9"/>
      <c r="O151" s="9" t="s">
        <v>453</v>
      </c>
      <c r="P151" s="9"/>
      <c r="Q151" s="9" t="s">
        <v>8</v>
      </c>
      <c r="R151" s="9"/>
    </row>
    <row r="152" spans="1:18" ht="104" hidden="1" x14ac:dyDescent="0.35">
      <c r="A152" s="2">
        <v>151</v>
      </c>
      <c r="B152" s="8">
        <v>1000000151</v>
      </c>
      <c r="C152" s="2" t="s">
        <v>454</v>
      </c>
      <c r="D152" s="2" t="s">
        <v>146</v>
      </c>
      <c r="E152" s="2" t="s">
        <v>455</v>
      </c>
      <c r="F152" s="9">
        <v>46000</v>
      </c>
      <c r="G152" s="9">
        <v>45837</v>
      </c>
      <c r="H152" s="2" t="s">
        <v>4</v>
      </c>
      <c r="I152" s="2" t="s">
        <v>5</v>
      </c>
      <c r="J152" s="8">
        <v>650000</v>
      </c>
      <c r="K152" s="2" t="s">
        <v>6</v>
      </c>
      <c r="L152" s="8">
        <f>ROUND(VLOOKUP(F152,'[1]Офіційний курс гривні щодо ...'!$A$466:$G$929,7,)*J152,-3)</f>
        <v>27346000</v>
      </c>
      <c r="M152" s="8">
        <v>27346</v>
      </c>
      <c r="N152" s="9"/>
      <c r="O152" s="9" t="s">
        <v>456</v>
      </c>
      <c r="P152" s="9"/>
      <c r="Q152" s="9" t="s">
        <v>8</v>
      </c>
      <c r="R152" s="9"/>
    </row>
    <row r="153" spans="1:18" ht="169" hidden="1" x14ac:dyDescent="0.35">
      <c r="A153" s="2">
        <v>152</v>
      </c>
      <c r="B153" s="8">
        <v>1000000152</v>
      </c>
      <c r="C153" s="2" t="s">
        <v>457</v>
      </c>
      <c r="D153" s="2" t="s">
        <v>146</v>
      </c>
      <c r="E153" s="2" t="s">
        <v>458</v>
      </c>
      <c r="F153" s="9">
        <v>46001</v>
      </c>
      <c r="G153" s="9">
        <v>45869</v>
      </c>
      <c r="H153" s="2" t="s">
        <v>4</v>
      </c>
      <c r="I153" s="2" t="s">
        <v>5</v>
      </c>
      <c r="J153" s="8">
        <v>160000</v>
      </c>
      <c r="K153" s="2" t="s">
        <v>6</v>
      </c>
      <c r="L153" s="8">
        <f>ROUND(VLOOKUP(F153,'[1]Офіційний курс гривні щодо ...'!$A$466:$G$929,7,)*J153,-3)</f>
        <v>6749000</v>
      </c>
      <c r="M153" s="8">
        <v>18339.67391304348</v>
      </c>
      <c r="N153" s="9"/>
      <c r="O153" s="9" t="s">
        <v>459</v>
      </c>
      <c r="P153" s="9"/>
      <c r="Q153" s="9" t="s">
        <v>8</v>
      </c>
      <c r="R153" s="9"/>
    </row>
    <row r="154" spans="1:18" ht="182" hidden="1" x14ac:dyDescent="0.35">
      <c r="A154" s="2">
        <v>153</v>
      </c>
      <c r="B154" s="8">
        <v>1000000153</v>
      </c>
      <c r="C154" s="2" t="s">
        <v>460</v>
      </c>
      <c r="D154" s="2" t="s">
        <v>146</v>
      </c>
      <c r="E154" s="2" t="s">
        <v>461</v>
      </c>
      <c r="F154" s="9">
        <v>46001</v>
      </c>
      <c r="G154" s="9">
        <v>45803</v>
      </c>
      <c r="H154" s="2" t="s">
        <v>4</v>
      </c>
      <c r="I154" s="2" t="s">
        <v>5</v>
      </c>
      <c r="J154" s="8">
        <v>75000</v>
      </c>
      <c r="K154" s="2" t="s">
        <v>6</v>
      </c>
      <c r="L154" s="8">
        <f>ROUND(VLOOKUP(F154,'[1]Офіційний курс гривні щодо ...'!$A$466:$G$929,7,)*J154,-3)</f>
        <v>3164000</v>
      </c>
      <c r="M154" s="8">
        <v>4520</v>
      </c>
      <c r="N154" s="9"/>
      <c r="O154" s="9" t="s">
        <v>462</v>
      </c>
      <c r="P154" s="9"/>
      <c r="Q154" s="9" t="s">
        <v>8</v>
      </c>
      <c r="R154" s="9"/>
    </row>
    <row r="155" spans="1:18" ht="78" hidden="1" x14ac:dyDescent="0.35">
      <c r="A155" s="2">
        <v>154</v>
      </c>
      <c r="B155" s="8">
        <v>1000000154</v>
      </c>
      <c r="C155" s="2" t="s">
        <v>463</v>
      </c>
      <c r="D155" s="2" t="s">
        <v>146</v>
      </c>
      <c r="E155" s="2" t="s">
        <v>464</v>
      </c>
      <c r="F155" s="9">
        <v>46001</v>
      </c>
      <c r="G155" s="9">
        <v>45874</v>
      </c>
      <c r="H155" s="2" t="s">
        <v>4</v>
      </c>
      <c r="I155" s="2" t="s">
        <v>5</v>
      </c>
      <c r="J155" s="8">
        <v>150000</v>
      </c>
      <c r="K155" s="2" t="s">
        <v>6</v>
      </c>
      <c r="L155" s="8">
        <f>ROUND(VLOOKUP(F155,'[1]Офіційний курс гривні щодо ...'!$A$466:$G$929,7,)*J155,-3)</f>
        <v>6328000</v>
      </c>
      <c r="M155" s="8">
        <v>9052.9327610872679</v>
      </c>
      <c r="N155" s="9"/>
      <c r="O155" s="9" t="s">
        <v>465</v>
      </c>
      <c r="P155" s="9"/>
      <c r="Q155" s="9" t="s">
        <v>8</v>
      </c>
      <c r="R155" s="9"/>
    </row>
    <row r="167" spans="12:12" x14ac:dyDescent="0.35">
      <c r="L167" s="1">
        <v>63276000</v>
      </c>
    </row>
    <row r="168" spans="12:12" x14ac:dyDescent="0.35">
      <c r="L168" s="1">
        <f>L167/906</f>
        <v>69841.059602649009</v>
      </c>
    </row>
  </sheetData>
  <autoFilter ref="A1:R155" xr:uid="{00000000-0001-0000-0000-000000000000}">
    <filterColumn colId="12">
      <filters>
        <filter val="401 042"/>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Аркуші</vt:lpstr>
      </vt:variant>
      <vt:variant>
        <vt:i4>1</vt:i4>
      </vt:variant>
    </vt:vector>
  </HeadingPairs>
  <TitlesOfParts>
    <vt:vector size="1" baseType="lpstr">
      <vt:lpstr>VM_Market_Observation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Oleksandr Myronov</dc:creator>
  <cp:lastModifiedBy>Oleksandr Myronov</cp:lastModifiedBy>
  <dcterms:created xsi:type="dcterms:W3CDTF">2026-01-09T11:27:56Z</dcterms:created>
  <dcterms:modified xsi:type="dcterms:W3CDTF">2026-01-18T23:15:19Z</dcterms:modified>
</cp:coreProperties>
</file>